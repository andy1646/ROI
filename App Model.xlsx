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y Bernabe\Documents\Projects\5thApp\"/>
    </mc:Choice>
  </mc:AlternateContent>
  <xr:revisionPtr revIDLastSave="0" documentId="13_ncr:1_{B7D86863-6526-4439-AFB6-0C5CA55C8ED5}" xr6:coauthVersionLast="47" xr6:coauthVersionMax="47" xr10:uidLastSave="{00000000-0000-0000-0000-000000000000}"/>
  <bookViews>
    <workbookView xWindow="-108" yWindow="-108" windowWidth="23256" windowHeight="13896" xr2:uid="{E6960C36-0567-4485-AA54-24B520997F3C}"/>
  </bookViews>
  <sheets>
    <sheet name="Sheet1" sheetId="1" r:id="rId1"/>
    <sheet name="Payroll Calcul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86" i="1" l="1"/>
  <c r="I86" i="1"/>
  <c r="H86" i="1"/>
  <c r="G86" i="1"/>
  <c r="F86" i="1"/>
  <c r="E86" i="1"/>
  <c r="J68" i="1"/>
  <c r="I68" i="1"/>
  <c r="H68" i="1"/>
  <c r="G68" i="1"/>
  <c r="F68" i="1"/>
  <c r="E68" i="1"/>
  <c r="J64" i="1"/>
  <c r="I64" i="1"/>
  <c r="H64" i="1"/>
  <c r="G64" i="1"/>
  <c r="F64" i="1"/>
  <c r="E64" i="1"/>
  <c r="G55" i="1"/>
  <c r="G54" i="1"/>
  <c r="G53" i="1"/>
  <c r="E81" i="2" s="1"/>
  <c r="G52" i="1"/>
  <c r="E70" i="2" s="1"/>
  <c r="G51" i="1"/>
  <c r="E59" i="2" s="1"/>
  <c r="G50" i="1"/>
  <c r="E48" i="2" s="1"/>
  <c r="G49" i="1"/>
  <c r="E37" i="2" s="1"/>
  <c r="G48" i="1"/>
  <c r="E26" i="2" s="1"/>
  <c r="D147" i="2"/>
  <c r="D136" i="2"/>
  <c r="D125" i="2"/>
  <c r="D114" i="2"/>
  <c r="D103" i="2"/>
  <c r="D92" i="2"/>
  <c r="D81" i="2"/>
  <c r="D70" i="2"/>
  <c r="D59" i="2"/>
  <c r="D48" i="2"/>
  <c r="D37" i="2"/>
  <c r="D26" i="2"/>
  <c r="D15" i="2"/>
  <c r="D4" i="2"/>
  <c r="G56" i="1"/>
  <c r="E114" i="2" s="1"/>
  <c r="G47" i="1"/>
  <c r="E15" i="2" s="1"/>
  <c r="G46" i="1"/>
  <c r="E4" i="2" s="1"/>
  <c r="G59" i="1"/>
  <c r="E147" i="2" s="1"/>
  <c r="G58" i="1"/>
  <c r="E136" i="2" s="1"/>
  <c r="G57" i="1"/>
  <c r="E125" i="2" s="1"/>
  <c r="E103" i="2"/>
  <c r="E92" i="2"/>
  <c r="B47" i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L153" i="2"/>
  <c r="K153" i="2"/>
  <c r="J153" i="2"/>
  <c r="I153" i="2"/>
  <c r="I154" i="2" s="1"/>
  <c r="H153" i="2"/>
  <c r="H154" i="2" s="1"/>
  <c r="Q152" i="2"/>
  <c r="P152" i="2"/>
  <c r="O152" i="2"/>
  <c r="N152" i="2"/>
  <c r="M152" i="2"/>
  <c r="L152" i="2"/>
  <c r="L149" i="2" s="1"/>
  <c r="K152" i="2"/>
  <c r="K155" i="2" s="1"/>
  <c r="J152" i="2"/>
  <c r="J155" i="2" s="1"/>
  <c r="I152" i="2"/>
  <c r="H152" i="2"/>
  <c r="G152" i="2"/>
  <c r="Q151" i="2"/>
  <c r="Q153" i="2" s="1"/>
  <c r="Q154" i="2" s="1"/>
  <c r="P151" i="2"/>
  <c r="P153" i="2" s="1"/>
  <c r="P154" i="2" s="1"/>
  <c r="O151" i="2"/>
  <c r="O153" i="2" s="1"/>
  <c r="N151" i="2"/>
  <c r="N153" i="2" s="1"/>
  <c r="M151" i="2"/>
  <c r="M153" i="2" s="1"/>
  <c r="M154" i="2" s="1"/>
  <c r="L151" i="2"/>
  <c r="K151" i="2"/>
  <c r="J151" i="2"/>
  <c r="I151" i="2"/>
  <c r="I149" i="2" s="1"/>
  <c r="H151" i="2"/>
  <c r="G151" i="2"/>
  <c r="G153" i="2" s="1"/>
  <c r="Q149" i="2"/>
  <c r="J149" i="2"/>
  <c r="P142" i="2"/>
  <c r="M142" i="2"/>
  <c r="M143" i="2" s="1"/>
  <c r="L142" i="2"/>
  <c r="L143" i="2" s="1"/>
  <c r="H142" i="2"/>
  <c r="Q141" i="2"/>
  <c r="Q138" i="2" s="1"/>
  <c r="P141" i="2"/>
  <c r="P138" i="2" s="1"/>
  <c r="O141" i="2"/>
  <c r="O138" i="2" s="1"/>
  <c r="N141" i="2"/>
  <c r="N138" i="2" s="1"/>
  <c r="M141" i="2"/>
  <c r="L141" i="2"/>
  <c r="K141" i="2"/>
  <c r="J141" i="2"/>
  <c r="I141" i="2"/>
  <c r="H141" i="2"/>
  <c r="H138" i="2" s="1"/>
  <c r="G141" i="2"/>
  <c r="G138" i="2" s="1"/>
  <c r="Q140" i="2"/>
  <c r="Q142" i="2" s="1"/>
  <c r="Q143" i="2" s="1"/>
  <c r="P140" i="2"/>
  <c r="O140" i="2"/>
  <c r="O142" i="2" s="1"/>
  <c r="N140" i="2"/>
  <c r="N142" i="2" s="1"/>
  <c r="M140" i="2"/>
  <c r="L140" i="2"/>
  <c r="K140" i="2"/>
  <c r="K142" i="2" s="1"/>
  <c r="K143" i="2" s="1"/>
  <c r="J140" i="2"/>
  <c r="J138" i="2" s="1"/>
  <c r="I140" i="2"/>
  <c r="I142" i="2" s="1"/>
  <c r="I143" i="2" s="1"/>
  <c r="H140" i="2"/>
  <c r="G140" i="2"/>
  <c r="G142" i="2" s="1"/>
  <c r="Q131" i="2"/>
  <c r="P131" i="2"/>
  <c r="J131" i="2"/>
  <c r="I131" i="2"/>
  <c r="H131" i="2"/>
  <c r="Q130" i="2"/>
  <c r="Q127" i="2" s="1"/>
  <c r="P130" i="2"/>
  <c r="P127" i="2" s="1"/>
  <c r="O130" i="2"/>
  <c r="N130" i="2"/>
  <c r="M130" i="2"/>
  <c r="L130" i="2"/>
  <c r="K130" i="2"/>
  <c r="J130" i="2"/>
  <c r="J133" i="2" s="1"/>
  <c r="I130" i="2"/>
  <c r="H130" i="2"/>
  <c r="H127" i="2" s="1"/>
  <c r="G130" i="2"/>
  <c r="Q129" i="2"/>
  <c r="P129" i="2"/>
  <c r="O129" i="2"/>
  <c r="O131" i="2" s="1"/>
  <c r="N129" i="2"/>
  <c r="N131" i="2" s="1"/>
  <c r="M129" i="2"/>
  <c r="M131" i="2" s="1"/>
  <c r="M132" i="2" s="1"/>
  <c r="L129" i="2"/>
  <c r="L131" i="2" s="1"/>
  <c r="L132" i="2" s="1"/>
  <c r="K129" i="2"/>
  <c r="K131" i="2" s="1"/>
  <c r="K132" i="2" s="1"/>
  <c r="J129" i="2"/>
  <c r="I129" i="2"/>
  <c r="H129" i="2"/>
  <c r="G129" i="2"/>
  <c r="G131" i="2" s="1"/>
  <c r="J127" i="2"/>
  <c r="I127" i="2"/>
  <c r="M120" i="2"/>
  <c r="M121" i="2" s="1"/>
  <c r="L120" i="2"/>
  <c r="K120" i="2"/>
  <c r="K121" i="2" s="1"/>
  <c r="J120" i="2"/>
  <c r="J121" i="2" s="1"/>
  <c r="Q119" i="2"/>
  <c r="P119" i="2"/>
  <c r="O119" i="2"/>
  <c r="N119" i="2"/>
  <c r="N116" i="2" s="1"/>
  <c r="M119" i="2"/>
  <c r="M116" i="2" s="1"/>
  <c r="L119" i="2"/>
  <c r="L116" i="2" s="1"/>
  <c r="K119" i="2"/>
  <c r="J119" i="2"/>
  <c r="J122" i="2" s="1"/>
  <c r="I119" i="2"/>
  <c r="H119" i="2"/>
  <c r="G119" i="2"/>
  <c r="Q118" i="2"/>
  <c r="Q120" i="2" s="1"/>
  <c r="Q121" i="2" s="1"/>
  <c r="P118" i="2"/>
  <c r="P120" i="2" s="1"/>
  <c r="P121" i="2" s="1"/>
  <c r="O118" i="2"/>
  <c r="O120" i="2" s="1"/>
  <c r="N118" i="2"/>
  <c r="N120" i="2" s="1"/>
  <c r="M118" i="2"/>
  <c r="L118" i="2"/>
  <c r="K118" i="2"/>
  <c r="J118" i="2"/>
  <c r="J116" i="2" s="1"/>
  <c r="I118" i="2"/>
  <c r="I120" i="2" s="1"/>
  <c r="I121" i="2" s="1"/>
  <c r="H118" i="2"/>
  <c r="H120" i="2" s="1"/>
  <c r="H121" i="2" s="1"/>
  <c r="G118" i="2"/>
  <c r="G120" i="2" s="1"/>
  <c r="Q111" i="2"/>
  <c r="P111" i="2"/>
  <c r="O111" i="2"/>
  <c r="N111" i="2"/>
  <c r="M111" i="2"/>
  <c r="L111" i="2"/>
  <c r="K111" i="2"/>
  <c r="J111" i="2"/>
  <c r="I111" i="2"/>
  <c r="H111" i="2"/>
  <c r="G111" i="2"/>
  <c r="Q110" i="2"/>
  <c r="P110" i="2"/>
  <c r="O110" i="2"/>
  <c r="N110" i="2"/>
  <c r="M110" i="2"/>
  <c r="L110" i="2"/>
  <c r="K110" i="2"/>
  <c r="J110" i="2"/>
  <c r="I110" i="2"/>
  <c r="H110" i="2"/>
  <c r="G110" i="2"/>
  <c r="Q109" i="2"/>
  <c r="P109" i="2"/>
  <c r="O109" i="2"/>
  <c r="N109" i="2"/>
  <c r="M109" i="2"/>
  <c r="L109" i="2"/>
  <c r="K109" i="2"/>
  <c r="J109" i="2"/>
  <c r="I109" i="2"/>
  <c r="H109" i="2"/>
  <c r="G109" i="2"/>
  <c r="Q108" i="2"/>
  <c r="P108" i="2"/>
  <c r="O108" i="2"/>
  <c r="N108" i="2"/>
  <c r="M108" i="2"/>
  <c r="L108" i="2"/>
  <c r="K108" i="2"/>
  <c r="J108" i="2"/>
  <c r="I108" i="2"/>
  <c r="H108" i="2"/>
  <c r="G108" i="2"/>
  <c r="Q107" i="2"/>
  <c r="P107" i="2"/>
  <c r="O107" i="2"/>
  <c r="N107" i="2"/>
  <c r="M107" i="2"/>
  <c r="L107" i="2"/>
  <c r="K107" i="2"/>
  <c r="J107" i="2"/>
  <c r="I107" i="2"/>
  <c r="H107" i="2"/>
  <c r="G107" i="2"/>
  <c r="Q105" i="2"/>
  <c r="P105" i="2"/>
  <c r="O105" i="2"/>
  <c r="N105" i="2"/>
  <c r="M105" i="2"/>
  <c r="L105" i="2"/>
  <c r="K105" i="2"/>
  <c r="J105" i="2"/>
  <c r="I105" i="2"/>
  <c r="H105" i="2"/>
  <c r="G105" i="2"/>
  <c r="L98" i="2"/>
  <c r="K98" i="2"/>
  <c r="J98" i="2"/>
  <c r="I98" i="2"/>
  <c r="I99" i="2" s="1"/>
  <c r="H98" i="2"/>
  <c r="H99" i="2" s="1"/>
  <c r="Q97" i="2"/>
  <c r="P97" i="2"/>
  <c r="O97" i="2"/>
  <c r="N97" i="2"/>
  <c r="M97" i="2"/>
  <c r="L97" i="2"/>
  <c r="L94" i="2" s="1"/>
  <c r="K97" i="2"/>
  <c r="K94" i="2" s="1"/>
  <c r="J97" i="2"/>
  <c r="J100" i="2" s="1"/>
  <c r="I97" i="2"/>
  <c r="H97" i="2"/>
  <c r="G97" i="2"/>
  <c r="Q96" i="2"/>
  <c r="Q98" i="2" s="1"/>
  <c r="Q99" i="2" s="1"/>
  <c r="P96" i="2"/>
  <c r="P98" i="2" s="1"/>
  <c r="P99" i="2" s="1"/>
  <c r="O96" i="2"/>
  <c r="O98" i="2" s="1"/>
  <c r="N96" i="2"/>
  <c r="N98" i="2" s="1"/>
  <c r="M96" i="2"/>
  <c r="M98" i="2" s="1"/>
  <c r="M99" i="2" s="1"/>
  <c r="L96" i="2"/>
  <c r="K96" i="2"/>
  <c r="J96" i="2"/>
  <c r="I96" i="2"/>
  <c r="I94" i="2" s="1"/>
  <c r="H96" i="2"/>
  <c r="G96" i="2"/>
  <c r="G98" i="2" s="1"/>
  <c r="Q94" i="2"/>
  <c r="J94" i="2"/>
  <c r="M87" i="2"/>
  <c r="M88" i="2" s="1"/>
  <c r="L87" i="2"/>
  <c r="L88" i="2" s="1"/>
  <c r="K87" i="2"/>
  <c r="K88" i="2" s="1"/>
  <c r="Q86" i="2"/>
  <c r="P86" i="2"/>
  <c r="O86" i="2"/>
  <c r="O83" i="2" s="1"/>
  <c r="N86" i="2"/>
  <c r="N83" i="2" s="1"/>
  <c r="M86" i="2"/>
  <c r="M83" i="2" s="1"/>
  <c r="L86" i="2"/>
  <c r="K86" i="2"/>
  <c r="J86" i="2"/>
  <c r="I86" i="2"/>
  <c r="H86" i="2"/>
  <c r="G86" i="2"/>
  <c r="G83" i="2" s="1"/>
  <c r="Q85" i="2"/>
  <c r="Q87" i="2" s="1"/>
  <c r="Q88" i="2" s="1"/>
  <c r="P85" i="2"/>
  <c r="P87" i="2" s="1"/>
  <c r="P88" i="2" s="1"/>
  <c r="O85" i="2"/>
  <c r="O87" i="2" s="1"/>
  <c r="N85" i="2"/>
  <c r="N87" i="2" s="1"/>
  <c r="M85" i="2"/>
  <c r="L85" i="2"/>
  <c r="K85" i="2"/>
  <c r="J85" i="2"/>
  <c r="J87" i="2" s="1"/>
  <c r="J88" i="2" s="1"/>
  <c r="I85" i="2"/>
  <c r="I87" i="2" s="1"/>
  <c r="I88" i="2" s="1"/>
  <c r="H85" i="2"/>
  <c r="H87" i="2" s="1"/>
  <c r="H88" i="2" s="1"/>
  <c r="G85" i="2"/>
  <c r="G87" i="2" s="1"/>
  <c r="Q76" i="2"/>
  <c r="Q77" i="2" s="1"/>
  <c r="P76" i="2"/>
  <c r="P77" i="2" s="1"/>
  <c r="J76" i="2"/>
  <c r="I76" i="2"/>
  <c r="H76" i="2"/>
  <c r="Q75" i="2"/>
  <c r="Q78" i="2" s="1"/>
  <c r="P75" i="2"/>
  <c r="P72" i="2" s="1"/>
  <c r="O75" i="2"/>
  <c r="N75" i="2"/>
  <c r="M75" i="2"/>
  <c r="L75" i="2"/>
  <c r="K75" i="2"/>
  <c r="J75" i="2"/>
  <c r="J78" i="2" s="1"/>
  <c r="I75" i="2"/>
  <c r="I78" i="2" s="1"/>
  <c r="H75" i="2"/>
  <c r="H72" i="2" s="1"/>
  <c r="G75" i="2"/>
  <c r="Q74" i="2"/>
  <c r="P74" i="2"/>
  <c r="O74" i="2"/>
  <c r="O76" i="2" s="1"/>
  <c r="N74" i="2"/>
  <c r="N76" i="2" s="1"/>
  <c r="M74" i="2"/>
  <c r="M76" i="2" s="1"/>
  <c r="M77" i="2" s="1"/>
  <c r="L74" i="2"/>
  <c r="L76" i="2" s="1"/>
  <c r="L77" i="2" s="1"/>
  <c r="K74" i="2"/>
  <c r="K76" i="2" s="1"/>
  <c r="K77" i="2" s="1"/>
  <c r="J74" i="2"/>
  <c r="I74" i="2"/>
  <c r="H74" i="2"/>
  <c r="G74" i="2"/>
  <c r="G76" i="2" s="1"/>
  <c r="J72" i="2"/>
  <c r="I72" i="2"/>
  <c r="Q67" i="2"/>
  <c r="I67" i="2"/>
  <c r="Q65" i="2"/>
  <c r="Q66" i="2" s="1"/>
  <c r="P65" i="2"/>
  <c r="P66" i="2" s="1"/>
  <c r="O65" i="2"/>
  <c r="O66" i="2" s="1"/>
  <c r="K65" i="2"/>
  <c r="K66" i="2" s="1"/>
  <c r="J65" i="2"/>
  <c r="J66" i="2" s="1"/>
  <c r="I65" i="2"/>
  <c r="I66" i="2" s="1"/>
  <c r="H65" i="2"/>
  <c r="H66" i="2" s="1"/>
  <c r="G65" i="2"/>
  <c r="G66" i="2" s="1"/>
  <c r="Q64" i="2"/>
  <c r="P64" i="2"/>
  <c r="P67" i="2" s="1"/>
  <c r="O64" i="2"/>
  <c r="O67" i="2" s="1"/>
  <c r="N64" i="2"/>
  <c r="N61" i="2" s="1"/>
  <c r="M64" i="2"/>
  <c r="M61" i="2" s="1"/>
  <c r="L64" i="2"/>
  <c r="L67" i="2" s="1"/>
  <c r="K64" i="2"/>
  <c r="K61" i="2" s="1"/>
  <c r="J64" i="2"/>
  <c r="J67" i="2" s="1"/>
  <c r="I64" i="2"/>
  <c r="H64" i="2"/>
  <c r="H67" i="2" s="1"/>
  <c r="G64" i="2"/>
  <c r="G67" i="2" s="1"/>
  <c r="Q63" i="2"/>
  <c r="P63" i="2"/>
  <c r="O63" i="2"/>
  <c r="O61" i="2" s="1"/>
  <c r="N63" i="2"/>
  <c r="N65" i="2" s="1"/>
  <c r="N66" i="2" s="1"/>
  <c r="M63" i="2"/>
  <c r="M65" i="2" s="1"/>
  <c r="M66" i="2" s="1"/>
  <c r="L63" i="2"/>
  <c r="L65" i="2" s="1"/>
  <c r="L66" i="2" s="1"/>
  <c r="K63" i="2"/>
  <c r="J63" i="2"/>
  <c r="I63" i="2"/>
  <c r="H63" i="2"/>
  <c r="G63" i="2"/>
  <c r="G61" i="2" s="1"/>
  <c r="Q61" i="2"/>
  <c r="P61" i="2"/>
  <c r="I61" i="2"/>
  <c r="H61" i="2"/>
  <c r="L56" i="2"/>
  <c r="O55" i="2"/>
  <c r="G55" i="2"/>
  <c r="O54" i="2"/>
  <c r="N54" i="2"/>
  <c r="N55" i="2" s="1"/>
  <c r="M54" i="2"/>
  <c r="M55" i="2" s="1"/>
  <c r="L54" i="2"/>
  <c r="L55" i="2" s="1"/>
  <c r="K54" i="2"/>
  <c r="K55" i="2" s="1"/>
  <c r="J54" i="2"/>
  <c r="J55" i="2" s="1"/>
  <c r="G54" i="2"/>
  <c r="Q53" i="2"/>
  <c r="Q50" i="2" s="1"/>
  <c r="P53" i="2"/>
  <c r="P50" i="2" s="1"/>
  <c r="O53" i="2"/>
  <c r="O50" i="2" s="1"/>
  <c r="N53" i="2"/>
  <c r="N50" i="2" s="1"/>
  <c r="M53" i="2"/>
  <c r="M50" i="2" s="1"/>
  <c r="L53" i="2"/>
  <c r="K53" i="2"/>
  <c r="K56" i="2" s="1"/>
  <c r="J53" i="2"/>
  <c r="J50" i="2" s="1"/>
  <c r="I53" i="2"/>
  <c r="I50" i="2" s="1"/>
  <c r="H53" i="2"/>
  <c r="H50" i="2" s="1"/>
  <c r="G53" i="2"/>
  <c r="G50" i="2" s="1"/>
  <c r="Q52" i="2"/>
  <c r="Q54" i="2" s="1"/>
  <c r="Q55" i="2" s="1"/>
  <c r="P52" i="2"/>
  <c r="P54" i="2" s="1"/>
  <c r="P55" i="2" s="1"/>
  <c r="O52" i="2"/>
  <c r="N52" i="2"/>
  <c r="M52" i="2"/>
  <c r="L52" i="2"/>
  <c r="K52" i="2"/>
  <c r="J52" i="2"/>
  <c r="I52" i="2"/>
  <c r="I54" i="2" s="1"/>
  <c r="I55" i="2" s="1"/>
  <c r="H52" i="2"/>
  <c r="H54" i="2" s="1"/>
  <c r="H55" i="2" s="1"/>
  <c r="G52" i="2"/>
  <c r="L50" i="2"/>
  <c r="K50" i="2"/>
  <c r="Q43" i="2"/>
  <c r="Q44" i="2" s="1"/>
  <c r="K43" i="2"/>
  <c r="J43" i="2"/>
  <c r="I43" i="2"/>
  <c r="H43" i="2"/>
  <c r="H44" i="2" s="1"/>
  <c r="Q42" i="2"/>
  <c r="Q45" i="2" s="1"/>
  <c r="P42" i="2"/>
  <c r="O42" i="2"/>
  <c r="N42" i="2"/>
  <c r="M42" i="2"/>
  <c r="L42" i="2"/>
  <c r="K42" i="2"/>
  <c r="K45" i="2" s="1"/>
  <c r="J42" i="2"/>
  <c r="J45" i="2" s="1"/>
  <c r="I42" i="2"/>
  <c r="I45" i="2" s="1"/>
  <c r="H42" i="2"/>
  <c r="G42" i="2"/>
  <c r="Q41" i="2"/>
  <c r="P41" i="2"/>
  <c r="P43" i="2" s="1"/>
  <c r="P44" i="2" s="1"/>
  <c r="O41" i="2"/>
  <c r="O43" i="2" s="1"/>
  <c r="N41" i="2"/>
  <c r="N43" i="2" s="1"/>
  <c r="M41" i="2"/>
  <c r="M43" i="2" s="1"/>
  <c r="M44" i="2" s="1"/>
  <c r="L41" i="2"/>
  <c r="L43" i="2" s="1"/>
  <c r="L44" i="2" s="1"/>
  <c r="K41" i="2"/>
  <c r="J41" i="2"/>
  <c r="I41" i="2"/>
  <c r="H41" i="2"/>
  <c r="G41" i="2"/>
  <c r="G43" i="2" s="1"/>
  <c r="J39" i="2"/>
  <c r="I39" i="2"/>
  <c r="M32" i="2"/>
  <c r="M33" i="2" s="1"/>
  <c r="L32" i="2"/>
  <c r="K32" i="2"/>
  <c r="J32" i="2"/>
  <c r="J33" i="2" s="1"/>
  <c r="Q31" i="2"/>
  <c r="P31" i="2"/>
  <c r="O31" i="2"/>
  <c r="N31" i="2"/>
  <c r="N28" i="2" s="1"/>
  <c r="M31" i="2"/>
  <c r="M28" i="2" s="1"/>
  <c r="L31" i="2"/>
  <c r="L28" i="2" s="1"/>
  <c r="K31" i="2"/>
  <c r="J31" i="2"/>
  <c r="J34" i="2" s="1"/>
  <c r="I31" i="2"/>
  <c r="I28" i="2" s="1"/>
  <c r="H31" i="2"/>
  <c r="G31" i="2"/>
  <c r="Q30" i="2"/>
  <c r="Q32" i="2" s="1"/>
  <c r="Q33" i="2" s="1"/>
  <c r="P30" i="2"/>
  <c r="P32" i="2" s="1"/>
  <c r="P33" i="2" s="1"/>
  <c r="O30" i="2"/>
  <c r="O32" i="2" s="1"/>
  <c r="N30" i="2"/>
  <c r="N32" i="2" s="1"/>
  <c r="M30" i="2"/>
  <c r="L30" i="2"/>
  <c r="K30" i="2"/>
  <c r="J30" i="2"/>
  <c r="J28" i="2" s="1"/>
  <c r="I30" i="2"/>
  <c r="I32" i="2" s="1"/>
  <c r="I33" i="2" s="1"/>
  <c r="H30" i="2"/>
  <c r="H32" i="2" s="1"/>
  <c r="H33" i="2" s="1"/>
  <c r="G30" i="2"/>
  <c r="G32" i="2" s="1"/>
  <c r="L21" i="2"/>
  <c r="K21" i="2"/>
  <c r="J21" i="2"/>
  <c r="J22" i="2" s="1"/>
  <c r="Q20" i="2"/>
  <c r="P20" i="2"/>
  <c r="O20" i="2"/>
  <c r="N20" i="2"/>
  <c r="N17" i="2" s="1"/>
  <c r="M20" i="2"/>
  <c r="M17" i="2" s="1"/>
  <c r="L20" i="2"/>
  <c r="L17" i="2" s="1"/>
  <c r="K20" i="2"/>
  <c r="J20" i="2"/>
  <c r="I20" i="2"/>
  <c r="H20" i="2"/>
  <c r="G20" i="2"/>
  <c r="Q19" i="2"/>
  <c r="Q21" i="2" s="1"/>
  <c r="Q22" i="2" s="1"/>
  <c r="P19" i="2"/>
  <c r="P17" i="2" s="1"/>
  <c r="O19" i="2"/>
  <c r="O21" i="2" s="1"/>
  <c r="N19" i="2"/>
  <c r="N21" i="2" s="1"/>
  <c r="M19" i="2"/>
  <c r="M21" i="2" s="1"/>
  <c r="L19" i="2"/>
  <c r="K19" i="2"/>
  <c r="J19" i="2"/>
  <c r="J17" i="2" s="1"/>
  <c r="I19" i="2"/>
  <c r="I21" i="2" s="1"/>
  <c r="I22" i="2" s="1"/>
  <c r="H19" i="2"/>
  <c r="H17" i="2" s="1"/>
  <c r="G19" i="2"/>
  <c r="G21" i="2" s="1"/>
  <c r="Q9" i="2"/>
  <c r="P9" i="2"/>
  <c r="O9" i="2"/>
  <c r="N9" i="2"/>
  <c r="M9" i="2"/>
  <c r="L9" i="2"/>
  <c r="K9" i="2"/>
  <c r="J9" i="2"/>
  <c r="I9" i="2"/>
  <c r="H9" i="2"/>
  <c r="G9" i="2"/>
  <c r="Q8" i="2"/>
  <c r="Q6" i="2" s="1"/>
  <c r="P8" i="2"/>
  <c r="O8" i="2"/>
  <c r="O10" i="2" s="1"/>
  <c r="N8" i="2"/>
  <c r="M8" i="2"/>
  <c r="L8" i="2"/>
  <c r="K8" i="2"/>
  <c r="J8" i="2"/>
  <c r="J10" i="2" s="1"/>
  <c r="I8" i="2"/>
  <c r="I10" i="2" s="1"/>
  <c r="H8" i="2"/>
  <c r="H10" i="2" s="1"/>
  <c r="G8" i="2"/>
  <c r="G6" i="2" s="1"/>
  <c r="L10" i="2"/>
  <c r="K10" i="2"/>
  <c r="Q10" i="2"/>
  <c r="Q12" i="2" s="1"/>
  <c r="P10" i="2"/>
  <c r="P11" i="2" s="1"/>
  <c r="N10" i="2"/>
  <c r="M10" i="2"/>
  <c r="J154" i="2" l="1"/>
  <c r="M149" i="2"/>
  <c r="L154" i="2"/>
  <c r="O149" i="2"/>
  <c r="H149" i="2"/>
  <c r="P149" i="2"/>
  <c r="K154" i="2"/>
  <c r="K147" i="2" s="1"/>
  <c r="N149" i="2"/>
  <c r="I155" i="2"/>
  <c r="Q155" i="2"/>
  <c r="J144" i="2"/>
  <c r="J136" i="2" s="1"/>
  <c r="J137" i="2" s="1"/>
  <c r="H143" i="2"/>
  <c r="K138" i="2"/>
  <c r="L138" i="2"/>
  <c r="J142" i="2"/>
  <c r="J143" i="2" s="1"/>
  <c r="I138" i="2"/>
  <c r="I144" i="2"/>
  <c r="I136" i="2" s="1"/>
  <c r="I137" i="2" s="1"/>
  <c r="Q144" i="2"/>
  <c r="Q136" i="2" s="1"/>
  <c r="Q137" i="2" s="1"/>
  <c r="M138" i="2"/>
  <c r="Q133" i="2"/>
  <c r="H132" i="2"/>
  <c r="K127" i="2"/>
  <c r="I133" i="2"/>
  <c r="L127" i="2"/>
  <c r="M133" i="2"/>
  <c r="N127" i="2"/>
  <c r="O127" i="2"/>
  <c r="L121" i="2"/>
  <c r="G116" i="2"/>
  <c r="O116" i="2"/>
  <c r="H116" i="2"/>
  <c r="P116" i="2"/>
  <c r="I116" i="2"/>
  <c r="I122" i="2"/>
  <c r="I114" i="2" s="1"/>
  <c r="I115" i="2" s="1"/>
  <c r="Q122" i="2"/>
  <c r="Q114" i="2" s="1"/>
  <c r="Q115" i="2" s="1"/>
  <c r="Q116" i="2"/>
  <c r="K116" i="2"/>
  <c r="J99" i="2"/>
  <c r="M94" i="2"/>
  <c r="L99" i="2"/>
  <c r="G94" i="2"/>
  <c r="H94" i="2"/>
  <c r="P94" i="2"/>
  <c r="K99" i="2"/>
  <c r="N94" i="2"/>
  <c r="O94" i="2"/>
  <c r="I100" i="2"/>
  <c r="I92" i="2" s="1"/>
  <c r="I93" i="2" s="1"/>
  <c r="Q100" i="2"/>
  <c r="Q92" i="2" s="1"/>
  <c r="Q93" i="2" s="1"/>
  <c r="J89" i="2"/>
  <c r="H83" i="2"/>
  <c r="P83" i="2"/>
  <c r="I83" i="2"/>
  <c r="I89" i="2"/>
  <c r="I81" i="2" s="1"/>
  <c r="I82" i="2" s="1"/>
  <c r="Q89" i="2"/>
  <c r="Q81" i="2" s="1"/>
  <c r="Q82" i="2" s="1"/>
  <c r="J83" i="2"/>
  <c r="Q83" i="2"/>
  <c r="K83" i="2"/>
  <c r="L83" i="2"/>
  <c r="Q72" i="2"/>
  <c r="K72" i="2"/>
  <c r="L72" i="2"/>
  <c r="H77" i="2"/>
  <c r="I77" i="2"/>
  <c r="I70" i="2" s="1"/>
  <c r="I71" i="2" s="1"/>
  <c r="J77" i="2"/>
  <c r="J70" i="2" s="1"/>
  <c r="J71" i="2" s="1"/>
  <c r="M72" i="2"/>
  <c r="N72" i="2"/>
  <c r="G72" i="2"/>
  <c r="O72" i="2"/>
  <c r="K67" i="2"/>
  <c r="L61" i="2"/>
  <c r="M67" i="2"/>
  <c r="N67" i="2"/>
  <c r="N59" i="2" s="1"/>
  <c r="N60" i="2" s="1"/>
  <c r="J61" i="2"/>
  <c r="M56" i="2"/>
  <c r="N56" i="2"/>
  <c r="G56" i="2"/>
  <c r="O56" i="2"/>
  <c r="O48" i="2" s="1"/>
  <c r="O49" i="2" s="1"/>
  <c r="H56" i="2"/>
  <c r="H48" i="2" s="1"/>
  <c r="H49" i="2" s="1"/>
  <c r="P56" i="2"/>
  <c r="P48" i="2" s="1"/>
  <c r="P49" i="2" s="1"/>
  <c r="I56" i="2"/>
  <c r="I48" i="2" s="1"/>
  <c r="I49" i="2" s="1"/>
  <c r="Q56" i="2"/>
  <c r="Q48" i="2" s="1"/>
  <c r="Q49" i="2" s="1"/>
  <c r="J56" i="2"/>
  <c r="Q39" i="2"/>
  <c r="L45" i="2"/>
  <c r="M39" i="2"/>
  <c r="J44" i="2"/>
  <c r="K44" i="2"/>
  <c r="K37" i="2" s="1"/>
  <c r="N39" i="2"/>
  <c r="G39" i="2"/>
  <c r="O39" i="2"/>
  <c r="H39" i="2"/>
  <c r="P39" i="2"/>
  <c r="L33" i="2"/>
  <c r="H28" i="2"/>
  <c r="P28" i="2"/>
  <c r="Q34" i="2"/>
  <c r="Q26" i="2" s="1"/>
  <c r="Q27" i="2" s="1"/>
  <c r="O28" i="2"/>
  <c r="I34" i="2"/>
  <c r="Q28" i="2"/>
  <c r="K34" i="2"/>
  <c r="L22" i="2"/>
  <c r="G17" i="2"/>
  <c r="O17" i="2"/>
  <c r="P21" i="2"/>
  <c r="P22" i="2" s="1"/>
  <c r="H23" i="2"/>
  <c r="P23" i="2"/>
  <c r="I17" i="2"/>
  <c r="I23" i="2"/>
  <c r="Q23" i="2"/>
  <c r="J23" i="2"/>
  <c r="J15" i="2" s="1"/>
  <c r="J16" i="2" s="1"/>
  <c r="H21" i="2"/>
  <c r="H22" i="2" s="1"/>
  <c r="Q17" i="2"/>
  <c r="K23" i="2"/>
  <c r="M6" i="2"/>
  <c r="O6" i="2"/>
  <c r="N6" i="2"/>
  <c r="G10" i="2"/>
  <c r="G12" i="2" s="1"/>
  <c r="G59" i="2"/>
  <c r="G60" i="2" s="1"/>
  <c r="M48" i="2"/>
  <c r="M49" i="2" s="1"/>
  <c r="H103" i="2"/>
  <c r="H104" i="2" s="1"/>
  <c r="O103" i="2"/>
  <c r="O104" i="2" s="1"/>
  <c r="J103" i="2"/>
  <c r="J104" i="2" s="1"/>
  <c r="I103" i="2"/>
  <c r="I104" i="2" s="1"/>
  <c r="Q103" i="2"/>
  <c r="Q104" i="2" s="1"/>
  <c r="P103" i="2"/>
  <c r="P104" i="2" s="1"/>
  <c r="M103" i="2"/>
  <c r="M104" i="2" s="1"/>
  <c r="K103" i="2"/>
  <c r="K104" i="2" s="1"/>
  <c r="L103" i="2"/>
  <c r="L104" i="2" s="1"/>
  <c r="K48" i="2"/>
  <c r="K49" i="2" s="1"/>
  <c r="G103" i="2"/>
  <c r="G104" i="2" s="1"/>
  <c r="N103" i="2"/>
  <c r="N104" i="2" s="1"/>
  <c r="H59" i="2"/>
  <c r="H60" i="2" s="1"/>
  <c r="I59" i="2"/>
  <c r="I60" i="2" s="1"/>
  <c r="J59" i="2"/>
  <c r="K59" i="2"/>
  <c r="K60" i="2" s="1"/>
  <c r="O59" i="2"/>
  <c r="O60" i="2" s="1"/>
  <c r="L59" i="2"/>
  <c r="L60" i="2" s="1"/>
  <c r="P59" i="2"/>
  <c r="P60" i="2" s="1"/>
  <c r="M59" i="2"/>
  <c r="M60" i="2" s="1"/>
  <c r="Q59" i="2"/>
  <c r="Q60" i="2" s="1"/>
  <c r="L48" i="2"/>
  <c r="L49" i="2" s="1"/>
  <c r="N48" i="2"/>
  <c r="N49" i="2" s="1"/>
  <c r="G48" i="2"/>
  <c r="G49" i="2" s="1"/>
  <c r="J48" i="2"/>
  <c r="J49" i="2" s="1"/>
  <c r="O154" i="2"/>
  <c r="G155" i="2"/>
  <c r="G154" i="2"/>
  <c r="G147" i="2" s="1"/>
  <c r="N154" i="2"/>
  <c r="Q147" i="2"/>
  <c r="Q148" i="2" s="1"/>
  <c r="K149" i="2"/>
  <c r="L155" i="2"/>
  <c r="L147" i="2" s="1"/>
  <c r="L148" i="2" s="1"/>
  <c r="J147" i="2"/>
  <c r="J148" i="2" s="1"/>
  <c r="M155" i="2"/>
  <c r="M147" i="2" s="1"/>
  <c r="M148" i="2" s="1"/>
  <c r="O155" i="2"/>
  <c r="O147" i="2" s="1"/>
  <c r="O148" i="2" s="1"/>
  <c r="G149" i="2"/>
  <c r="H155" i="2"/>
  <c r="H147" i="2" s="1"/>
  <c r="H148" i="2" s="1"/>
  <c r="P155" i="2"/>
  <c r="P147" i="2" s="1"/>
  <c r="P148" i="2" s="1"/>
  <c r="I147" i="2"/>
  <c r="I148" i="2" s="1"/>
  <c r="N155" i="2"/>
  <c r="G143" i="2"/>
  <c r="O143" i="2"/>
  <c r="N143" i="2"/>
  <c r="N136" i="2" s="1"/>
  <c r="N137" i="2" s="1"/>
  <c r="L144" i="2"/>
  <c r="L136" i="2" s="1"/>
  <c r="L137" i="2" s="1"/>
  <c r="P143" i="2"/>
  <c r="P136" i="2" s="1"/>
  <c r="P137" i="2" s="1"/>
  <c r="N144" i="2"/>
  <c r="K144" i="2"/>
  <c r="K136" i="2" s="1"/>
  <c r="K137" i="2" s="1"/>
  <c r="M144" i="2"/>
  <c r="M136" i="2" s="1"/>
  <c r="M137" i="2" s="1"/>
  <c r="G144" i="2"/>
  <c r="O144" i="2"/>
  <c r="O136" i="2" s="1"/>
  <c r="O137" i="2" s="1"/>
  <c r="H144" i="2"/>
  <c r="H136" i="2" s="1"/>
  <c r="H137" i="2" s="1"/>
  <c r="P144" i="2"/>
  <c r="G132" i="2"/>
  <c r="O132" i="2"/>
  <c r="G133" i="2"/>
  <c r="G125" i="2" s="1"/>
  <c r="M125" i="2"/>
  <c r="N132" i="2"/>
  <c r="H125" i="2"/>
  <c r="H126" i="2" s="1"/>
  <c r="K133" i="2"/>
  <c r="K125" i="2" s="1"/>
  <c r="L133" i="2"/>
  <c r="L125" i="2" s="1"/>
  <c r="P132" i="2"/>
  <c r="P125" i="2" s="1"/>
  <c r="P126" i="2" s="1"/>
  <c r="M127" i="2"/>
  <c r="I132" i="2"/>
  <c r="I125" i="2" s="1"/>
  <c r="I126" i="2" s="1"/>
  <c r="N133" i="2"/>
  <c r="J132" i="2"/>
  <c r="J125" i="2" s="1"/>
  <c r="J126" i="2" s="1"/>
  <c r="O133" i="2"/>
  <c r="G127" i="2"/>
  <c r="H133" i="2"/>
  <c r="P133" i="2"/>
  <c r="Q132" i="2"/>
  <c r="Q125" i="2" s="1"/>
  <c r="Q126" i="2" s="1"/>
  <c r="G121" i="2"/>
  <c r="O121" i="2"/>
  <c r="N121" i="2"/>
  <c r="N114" i="2" s="1"/>
  <c r="N115" i="2" s="1"/>
  <c r="K122" i="2"/>
  <c r="K114" i="2" s="1"/>
  <c r="K115" i="2" s="1"/>
  <c r="L122" i="2"/>
  <c r="L114" i="2" s="1"/>
  <c r="L115" i="2" s="1"/>
  <c r="J114" i="2"/>
  <c r="J115" i="2" s="1"/>
  <c r="M122" i="2"/>
  <c r="M114" i="2" s="1"/>
  <c r="M115" i="2" s="1"/>
  <c r="N122" i="2"/>
  <c r="G122" i="2"/>
  <c r="O122" i="2"/>
  <c r="H122" i="2"/>
  <c r="H114" i="2" s="1"/>
  <c r="H115" i="2" s="1"/>
  <c r="P122" i="2"/>
  <c r="P114" i="2" s="1"/>
  <c r="P115" i="2" s="1"/>
  <c r="G99" i="2"/>
  <c r="O99" i="2"/>
  <c r="N99" i="2"/>
  <c r="N92" i="2" s="1"/>
  <c r="K100" i="2"/>
  <c r="K92" i="2" s="1"/>
  <c r="K93" i="2" s="1"/>
  <c r="L100" i="2"/>
  <c r="L92" i="2" s="1"/>
  <c r="L93" i="2" s="1"/>
  <c r="J92" i="2"/>
  <c r="J93" i="2" s="1"/>
  <c r="M100" i="2"/>
  <c r="M92" i="2" s="1"/>
  <c r="M93" i="2" s="1"/>
  <c r="N100" i="2"/>
  <c r="G100" i="2"/>
  <c r="G92" i="2" s="1"/>
  <c r="O100" i="2"/>
  <c r="O92" i="2" s="1"/>
  <c r="O93" i="2" s="1"/>
  <c r="H100" i="2"/>
  <c r="H92" i="2" s="1"/>
  <c r="P100" i="2"/>
  <c r="P92" i="2" s="1"/>
  <c r="G88" i="2"/>
  <c r="O88" i="2"/>
  <c r="N88" i="2"/>
  <c r="N81" i="2" s="1"/>
  <c r="N82" i="2" s="1"/>
  <c r="K89" i="2"/>
  <c r="K81" i="2" s="1"/>
  <c r="K82" i="2" s="1"/>
  <c r="L89" i="2"/>
  <c r="L81" i="2" s="1"/>
  <c r="L82" i="2" s="1"/>
  <c r="J81" i="2"/>
  <c r="J82" i="2" s="1"/>
  <c r="M89" i="2"/>
  <c r="M81" i="2" s="1"/>
  <c r="M82" i="2" s="1"/>
  <c r="N89" i="2"/>
  <c r="G89" i="2"/>
  <c r="G81" i="2" s="1"/>
  <c r="G82" i="2" s="1"/>
  <c r="O89" i="2"/>
  <c r="H89" i="2"/>
  <c r="H81" i="2" s="1"/>
  <c r="H82" i="2" s="1"/>
  <c r="P89" i="2"/>
  <c r="P81" i="2" s="1"/>
  <c r="P82" i="2" s="1"/>
  <c r="G77" i="2"/>
  <c r="O77" i="2"/>
  <c r="N77" i="2"/>
  <c r="N70" i="2" s="1"/>
  <c r="N71" i="2" s="1"/>
  <c r="P70" i="2"/>
  <c r="P71" i="2" s="1"/>
  <c r="K78" i="2"/>
  <c r="K70" i="2" s="1"/>
  <c r="K71" i="2" s="1"/>
  <c r="Q70" i="2"/>
  <c r="Q71" i="2" s="1"/>
  <c r="L78" i="2"/>
  <c r="L70" i="2" s="1"/>
  <c r="L71" i="2" s="1"/>
  <c r="M78" i="2"/>
  <c r="M70" i="2" s="1"/>
  <c r="M71" i="2" s="1"/>
  <c r="N78" i="2"/>
  <c r="G78" i="2"/>
  <c r="G70" i="2" s="1"/>
  <c r="O78" i="2"/>
  <c r="H78" i="2"/>
  <c r="P78" i="2"/>
  <c r="O44" i="2"/>
  <c r="G44" i="2"/>
  <c r="N44" i="2"/>
  <c r="J37" i="2"/>
  <c r="J38" i="2" s="1"/>
  <c r="M45" i="2"/>
  <c r="M37" i="2" s="1"/>
  <c r="M38" i="2" s="1"/>
  <c r="O45" i="2"/>
  <c r="Q37" i="2"/>
  <c r="Q38" i="2" s="1"/>
  <c r="K39" i="2"/>
  <c r="L39" i="2"/>
  <c r="I44" i="2"/>
  <c r="I37" i="2" s="1"/>
  <c r="I38" i="2" s="1"/>
  <c r="N45" i="2"/>
  <c r="L37" i="2"/>
  <c r="G45" i="2"/>
  <c r="H45" i="2"/>
  <c r="H37" i="2" s="1"/>
  <c r="H38" i="2" s="1"/>
  <c r="P45" i="2"/>
  <c r="P37" i="2"/>
  <c r="P38" i="2" s="1"/>
  <c r="G33" i="2"/>
  <c r="M26" i="2"/>
  <c r="M27" i="2" s="1"/>
  <c r="O33" i="2"/>
  <c r="G34" i="2"/>
  <c r="G26" i="2" s="1"/>
  <c r="N33" i="2"/>
  <c r="K28" i="2"/>
  <c r="I26" i="2"/>
  <c r="I27" i="2" s="1"/>
  <c r="L34" i="2"/>
  <c r="L26" i="2" s="1"/>
  <c r="L27" i="2" s="1"/>
  <c r="J26" i="2"/>
  <c r="J27" i="2" s="1"/>
  <c r="N34" i="2"/>
  <c r="O34" i="2"/>
  <c r="G28" i="2"/>
  <c r="K33" i="2"/>
  <c r="H34" i="2"/>
  <c r="H26" i="2" s="1"/>
  <c r="H27" i="2" s="1"/>
  <c r="P34" i="2"/>
  <c r="P26" i="2" s="1"/>
  <c r="P27" i="2" s="1"/>
  <c r="M34" i="2"/>
  <c r="M22" i="2"/>
  <c r="N22" i="2"/>
  <c r="O22" i="2"/>
  <c r="G22" i="2"/>
  <c r="H15" i="2"/>
  <c r="H16" i="2" s="1"/>
  <c r="Q15" i="2"/>
  <c r="Q16" i="2" s="1"/>
  <c r="K17" i="2"/>
  <c r="L23" i="2"/>
  <c r="M23" i="2"/>
  <c r="N23" i="2"/>
  <c r="G23" i="2"/>
  <c r="O23" i="2"/>
  <c r="O15" i="2" s="1"/>
  <c r="O16" i="2" s="1"/>
  <c r="P15" i="2"/>
  <c r="P16" i="2" s="1"/>
  <c r="K22" i="2"/>
  <c r="K15" i="2" s="1"/>
  <c r="I15" i="2"/>
  <c r="I16" i="2" s="1"/>
  <c r="H11" i="2"/>
  <c r="I11" i="2"/>
  <c r="I12" i="2"/>
  <c r="I4" i="2"/>
  <c r="J11" i="2"/>
  <c r="L11" i="2"/>
  <c r="K11" i="2"/>
  <c r="H6" i="2"/>
  <c r="H12" i="2"/>
  <c r="H4" i="2" s="1"/>
  <c r="P12" i="2"/>
  <c r="P4" i="2" s="1"/>
  <c r="O11" i="2"/>
  <c r="I6" i="2"/>
  <c r="P6" i="2"/>
  <c r="J6" i="2"/>
  <c r="G11" i="2"/>
  <c r="K6" i="2"/>
  <c r="L6" i="2"/>
  <c r="M11" i="2"/>
  <c r="N11" i="2"/>
  <c r="J12" i="2"/>
  <c r="K12" i="2"/>
  <c r="L12" i="2"/>
  <c r="M12" i="2"/>
  <c r="Q11" i="2"/>
  <c r="Q4" i="2" s="1"/>
  <c r="Q5" i="2" s="1"/>
  <c r="N12" i="2"/>
  <c r="O12" i="2"/>
  <c r="G148" i="2" l="1"/>
  <c r="G27" i="2"/>
  <c r="N147" i="2"/>
  <c r="N148" i="2" s="1"/>
  <c r="G136" i="2"/>
  <c r="G137" i="2" s="1"/>
  <c r="N125" i="2"/>
  <c r="N126" i="2" s="1"/>
  <c r="L126" i="2"/>
  <c r="G126" i="2"/>
  <c r="O125" i="2"/>
  <c r="O126" i="2" s="1"/>
  <c r="K126" i="2"/>
  <c r="O114" i="2"/>
  <c r="O115" i="2" s="1"/>
  <c r="G114" i="2"/>
  <c r="G115" i="2" s="1"/>
  <c r="N93" i="2"/>
  <c r="P93" i="2"/>
  <c r="G93" i="2"/>
  <c r="H93" i="2"/>
  <c r="O81" i="2"/>
  <c r="O82" i="2" s="1"/>
  <c r="H70" i="2"/>
  <c r="H71" i="2" s="1"/>
  <c r="O70" i="2"/>
  <c r="O71" i="2" s="1"/>
  <c r="G71" i="2"/>
  <c r="J60" i="2"/>
  <c r="N37" i="2"/>
  <c r="N38" i="2" s="1"/>
  <c r="G37" i="2"/>
  <c r="G38" i="2" s="1"/>
  <c r="O37" i="2"/>
  <c r="O38" i="2" s="1"/>
  <c r="K26" i="2"/>
  <c r="K27" i="2" s="1"/>
  <c r="O26" i="2"/>
  <c r="O27" i="2" s="1"/>
  <c r="N26" i="2"/>
  <c r="N27" i="2" s="1"/>
  <c r="G15" i="2"/>
  <c r="G16" i="2" s="1"/>
  <c r="M15" i="2"/>
  <c r="M16" i="2" s="1"/>
  <c r="N15" i="2"/>
  <c r="N16" i="2" s="1"/>
  <c r="L15" i="2"/>
  <c r="L16" i="2" s="1"/>
  <c r="G4" i="2"/>
  <c r="N4" i="2"/>
  <c r="N5" i="2" s="1"/>
  <c r="O4" i="2"/>
  <c r="O5" i="2" s="1"/>
  <c r="M4" i="2"/>
  <c r="M5" i="2" s="1"/>
  <c r="P5" i="2"/>
  <c r="H5" i="2"/>
  <c r="I5" i="2"/>
  <c r="L38" i="2"/>
  <c r="K148" i="2"/>
  <c r="M126" i="2"/>
  <c r="K38" i="2"/>
  <c r="K16" i="2"/>
  <c r="K4" i="2"/>
  <c r="L4" i="2"/>
  <c r="J4" i="2"/>
  <c r="E9" i="1"/>
  <c r="J9" i="1" s="1"/>
  <c r="E4" i="1"/>
  <c r="D72" i="1" s="1"/>
  <c r="E3" i="1"/>
  <c r="F3" i="1" s="1"/>
  <c r="G3" i="1" s="1"/>
  <c r="H3" i="1" s="1"/>
  <c r="I3" i="1" s="1"/>
  <c r="J3" i="1" s="1"/>
  <c r="E72" i="1" l="1"/>
  <c r="D75" i="1"/>
  <c r="G5" i="2"/>
  <c r="D74" i="1"/>
  <c r="D78" i="1" s="1"/>
  <c r="D86" i="1" s="1"/>
  <c r="J5" i="2"/>
  <c r="L5" i="2"/>
  <c r="K5" i="2"/>
  <c r="F9" i="1"/>
  <c r="G9" i="1"/>
  <c r="H9" i="1"/>
  <c r="I9" i="1"/>
  <c r="E8" i="1"/>
  <c r="F4" i="1"/>
  <c r="E34" i="1" l="1"/>
  <c r="E36" i="1" s="1"/>
  <c r="E40" i="1"/>
  <c r="E41" i="1" s="1"/>
  <c r="E65" i="1"/>
  <c r="G4" i="1"/>
  <c r="F8" i="1"/>
  <c r="F34" i="1" s="1"/>
  <c r="F72" i="1"/>
  <c r="F40" i="1" l="1"/>
  <c r="F41" i="1" s="1"/>
  <c r="F36" i="1"/>
  <c r="F65" i="1"/>
  <c r="H4" i="1"/>
  <c r="G72" i="1"/>
  <c r="G8" i="1"/>
  <c r="G34" i="1" s="1"/>
  <c r="G40" i="1" l="1"/>
  <c r="G41" i="1" s="1"/>
  <c r="E69" i="1"/>
  <c r="G36" i="1"/>
  <c r="G65" i="1"/>
  <c r="I4" i="1"/>
  <c r="H72" i="1"/>
  <c r="H8" i="1"/>
  <c r="H34" i="1" s="1"/>
  <c r="H40" i="1" l="1"/>
  <c r="H41" i="1" s="1"/>
  <c r="F69" i="1"/>
  <c r="H36" i="1"/>
  <c r="H65" i="1"/>
  <c r="J4" i="1"/>
  <c r="I8" i="1"/>
  <c r="I34" i="1" s="1"/>
  <c r="I72" i="1"/>
  <c r="I40" i="1" l="1"/>
  <c r="I41" i="1" s="1"/>
  <c r="I36" i="1"/>
  <c r="I65" i="1"/>
  <c r="G69" i="1"/>
  <c r="J72" i="1"/>
  <c r="J8" i="1"/>
  <c r="J34" i="1" s="1"/>
  <c r="H69" i="1" l="1"/>
  <c r="J40" i="1"/>
  <c r="J41" i="1" s="1"/>
  <c r="J36" i="1"/>
  <c r="J65" i="1"/>
  <c r="I69" i="1" l="1"/>
  <c r="J69" i="1" l="1"/>
  <c r="D8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4" authorId="0" shapeId="0" xr:uid="{32C8BA8B-4349-4441-B89D-15A1AAA439E4}">
      <text>
        <r>
          <rPr>
            <sz val="10"/>
            <rFont val="Arial"/>
            <family val="2"/>
          </rPr>
          <t>Start Month: months offset from the beginning of Year 1.
  0   = starts day 1 of Year 1 (full year in Year 1, nothing in Year 0)
 -2   = starts 2 months before Year 1, so 2 months of pay land in Year 0
-12   = starts day 1 of Year 0, so Year 1 carries a full 3% merit increase
  3   = starts 3 months into Year 1, prorating Year 1 to 9 months
Merit increases apply on the hire anniversary, so a model year that
straddles an anniversary blends the two rates.</t>
        </r>
      </text>
    </comment>
    <comment ref="C15" authorId="0" shapeId="0" xr:uid="{748B1524-16B7-490B-9A32-304BE2F25667}">
      <text>
        <r>
          <rPr>
            <sz val="10"/>
            <rFont val="Arial"/>
            <family val="2"/>
          </rPr>
          <t>Start Month: months offset from the beginning of Year 1.
  0   = starts day 1 of Year 1 (full year in Year 1, nothing in Year 0)
 -2   = starts 2 months before Year 1, so 2 months of pay land in Year 0
-12   = starts day 1 of Year 0, so Year 1 carries a full 3% merit increase
  3   = starts 3 months into Year 1, prorating Year 1 to 9 months
Merit increases apply on the hire anniversary, so a model year that
straddles an anniversary blends the two rates.</t>
        </r>
      </text>
    </comment>
    <comment ref="C26" authorId="0" shapeId="0" xr:uid="{191CC9C9-FA62-4D3B-BAFC-05830024DACF}">
      <text>
        <r>
          <rPr>
            <sz val="10"/>
            <rFont val="Arial"/>
            <family val="2"/>
          </rPr>
          <t>Start Month: months offset from the beginning of Year 1.
  0   = starts day 1 of Year 1 (full year in Year 1, nothing in Year 0)
 -2   = starts 2 months before Year 1, so 2 months of pay land in Year 0
-12   = starts day 1 of Year 0, so Year 1 carries a full 3% merit increase
  3   = starts 3 months into Year 1, prorating Year 1 to 9 months
Merit increases apply on the hire anniversary, so a model year that
straddles an anniversary blends the two rates.</t>
        </r>
      </text>
    </comment>
    <comment ref="C37" authorId="0" shapeId="0" xr:uid="{271FE985-8333-4FFA-8DCD-76E9DFA6808C}">
      <text>
        <r>
          <rPr>
            <sz val="10"/>
            <rFont val="Arial"/>
            <family val="2"/>
          </rPr>
          <t>Start Month: months offset from the beginning of Year 1.
  0   = starts day 1 of Year 1 (full year in Year 1, nothing in Year 0)
 -2   = starts 2 months before Year 1, so 2 months of pay land in Year 0
-12   = starts day 1 of Year 0, so Year 1 carries a full 3% merit increase
  3   = starts 3 months into Year 1, prorating Year 1 to 9 months
Merit increases apply on the hire anniversary, so a model year that
straddles an anniversary blends the two rates.</t>
        </r>
      </text>
    </comment>
    <comment ref="C48" authorId="0" shapeId="0" xr:uid="{BC814E95-B69D-457A-B7C7-84E949CC9EBF}">
      <text>
        <r>
          <rPr>
            <sz val="10"/>
            <rFont val="Arial"/>
            <family val="2"/>
          </rPr>
          <t>Start Month: months offset from the beginning of Year 1.
  0   = starts day 1 of Year 1 (full year in Year 1, nothing in Year 0)
 -2   = starts 2 months before Year 1, so 2 months of pay land in Year 0
-12   = starts day 1 of Year 0, so Year 1 carries a full 3% merit increase
  3   = starts 3 months into Year 1, prorating Year 1 to 9 months
Merit increases apply on the hire anniversary, so a model year that
straddles an anniversary blends the two rates.</t>
        </r>
      </text>
    </comment>
    <comment ref="C59" authorId="0" shapeId="0" xr:uid="{77D171C2-098F-49E2-B309-CAF17D2217E5}">
      <text>
        <r>
          <rPr>
            <sz val="10"/>
            <rFont val="Arial"/>
            <family val="2"/>
          </rPr>
          <t>Start Month: months offset from the beginning of Year 1.
  0   = starts day 1 of Year 1 (full year in Year 1, nothing in Year 0)
 -2   = starts 2 months before Year 1, so 2 months of pay land in Year 0
-12   = starts day 1 of Year 0, so Year 1 carries a full 3% merit increase
  3   = starts 3 months into Year 1, prorating Year 1 to 9 months
Merit increases apply on the hire anniversary, so a model year that
straddles an anniversary blends the two rates.</t>
        </r>
      </text>
    </comment>
    <comment ref="C70" authorId="0" shapeId="0" xr:uid="{77C7FF99-3ED3-407C-BA85-B84D3DE9F5CA}">
      <text>
        <r>
          <rPr>
            <sz val="10"/>
            <rFont val="Arial"/>
            <family val="2"/>
          </rPr>
          <t>Start Month: months offset from the beginning of Year 1.
  0   = starts day 1 of Year 1 (full year in Year 1, nothing in Year 0)
 -2   = starts 2 months before Year 1, so 2 months of pay land in Year 0
-12   = starts day 1 of Year 0, so Year 1 carries a full 3% merit increase
  3   = starts 3 months into Year 1, prorating Year 1 to 9 months
Merit increases apply on the hire anniversary, so a model year that
straddles an anniversary blends the two rates.</t>
        </r>
      </text>
    </comment>
    <comment ref="C81" authorId="0" shapeId="0" xr:uid="{7198A268-720B-4580-9C52-F72CEFEF893A}">
      <text>
        <r>
          <rPr>
            <sz val="10"/>
            <rFont val="Arial"/>
            <family val="2"/>
          </rPr>
          <t>Start Month: months offset from the beginning of Year 1.
  0   = starts day 1 of Year 1 (full year in Year 1, nothing in Year 0)
 -2   = starts 2 months before Year 1, so 2 months of pay land in Year 0
-12   = starts day 1 of Year 0, so Year 1 carries a full 3% merit increase
  3   = starts 3 months into Year 1, prorating Year 1 to 9 months
Merit increases apply on the hire anniversary, so a model year that
straddles an anniversary blends the two rates.</t>
        </r>
      </text>
    </comment>
    <comment ref="C92" authorId="0" shapeId="0" xr:uid="{55CACA8C-E527-4D8F-9FBA-92E36EA005B8}">
      <text>
        <r>
          <rPr>
            <sz val="10"/>
            <rFont val="Arial"/>
            <family val="2"/>
          </rPr>
          <t>Start Month: months offset from the beginning of Year 1.
  0   = starts day 1 of Year 1 (full year in Year 1, nothing in Year 0)
 -2   = starts 2 months before Year 1, so 2 months of pay land in Year 0
-12   = starts day 1 of Year 0, so Year 1 carries a full 3% merit increase
  3   = starts 3 months into Year 1, prorating Year 1 to 9 months
Merit increases apply on the hire anniversary, so a model year that
straddles an anniversary blends the two rates.</t>
        </r>
      </text>
    </comment>
    <comment ref="C103" authorId="0" shapeId="0" xr:uid="{BBE30137-CB54-419E-80AB-F423F0F11ED0}">
      <text>
        <r>
          <rPr>
            <sz val="10"/>
            <rFont val="Arial"/>
            <family val="2"/>
          </rPr>
          <t>Start Month: months offset from the beginning of Year 1.
  0   = starts day 1 of Year 1 (full year in Year 1, nothing in Year 0)
 -2   = starts 2 months before Year 1, so 2 months of pay land in Year 0
-12   = starts day 1 of Year 0, so Year 1 carries a full 3% merit increase
  3   = starts 3 months into Year 1, prorating Year 1 to 9 months
Merit increases apply on the hire anniversary, so a model year that
straddles an anniversary blends the two rates.</t>
        </r>
      </text>
    </comment>
    <comment ref="C114" authorId="0" shapeId="0" xr:uid="{75267C51-1D12-45A1-9481-3DC74FE0EC56}">
      <text>
        <r>
          <rPr>
            <sz val="10"/>
            <rFont val="Arial"/>
            <family val="2"/>
          </rPr>
          <t>Start Month: months offset from the beginning of Year 1.
  0   = starts day 1 of Year 1 (full year in Year 1, nothing in Year 0)
 -2   = starts 2 months before Year 1, so 2 months of pay land in Year 0
-12   = starts day 1 of Year 0, so Year 1 carries a full 3% merit increase
  3   = starts 3 months into Year 1, prorating Year 1 to 9 months
Merit increases apply on the hire anniversary, so a model year that
straddles an anniversary blends the two rates.</t>
        </r>
      </text>
    </comment>
    <comment ref="C125" authorId="0" shapeId="0" xr:uid="{0C8B28BF-0E57-4C9B-BE47-02A0025466B7}">
      <text>
        <r>
          <rPr>
            <sz val="10"/>
            <rFont val="Arial"/>
            <family val="2"/>
          </rPr>
          <t>Start Month: months offset from the beginning of Year 1.
  0   = starts day 1 of Year 1 (full year in Year 1, nothing in Year 0)
 -2   = starts 2 months before Year 1, so 2 months of pay land in Year 0
-12   = starts day 1 of Year 0, so Year 1 carries a full 3% merit increase
  3   = starts 3 months into Year 1, prorating Year 1 to 9 months
Merit increases apply on the hire anniversary, so a model year that
straddles an anniversary blends the two rates.</t>
        </r>
      </text>
    </comment>
    <comment ref="C136" authorId="0" shapeId="0" xr:uid="{05843304-0C30-418C-807C-03DBA94881BB}">
      <text>
        <r>
          <rPr>
            <sz val="10"/>
            <rFont val="Arial"/>
            <family val="2"/>
          </rPr>
          <t>Start Month: months offset from the beginning of Year 1.
  0   = starts day 1 of Year 1 (full year in Year 1, nothing in Year 0)
 -2   = starts 2 months before Year 1, so 2 months of pay land in Year 0
-12   = starts day 1 of Year 0, so Year 1 carries a full 3% merit increase
  3   = starts 3 months into Year 1, prorating Year 1 to 9 months
Merit increases apply on the hire anniversary, so a model year that
straddles an anniversary blends the two rates.</t>
        </r>
      </text>
    </comment>
    <comment ref="C147" authorId="0" shapeId="0" xr:uid="{25E62C54-A702-470B-886E-AC9351006BF3}">
      <text>
        <r>
          <rPr>
            <sz val="10"/>
            <rFont val="Arial"/>
            <family val="2"/>
          </rPr>
          <t>Start Month: months offset from the beginning of Year 1.
  0   = starts day 1 of Year 1 (full year in Year 1, nothing in Year 0)
 -2   = starts 2 months before Year 1, so 2 months of pay land in Year 0
-12   = starts day 1 of Year 0, so Year 1 carries a full 3% merit increase
  3   = starts 3 months into Year 1, prorating Year 1 to 9 months
Merit increases apply on the hire anniversary, so a model year that
straddles an anniversary blends the two rates.</t>
        </r>
      </text>
    </comment>
  </commentList>
</comments>
</file>

<file path=xl/sharedStrings.xml><?xml version="1.0" encoding="utf-8"?>
<sst xmlns="http://schemas.openxmlformats.org/spreadsheetml/2006/main" count="395" uniqueCount="73">
  <si>
    <t>Gross Revenue</t>
  </si>
  <si>
    <t>Year</t>
  </si>
  <si>
    <t>Revenue Growth</t>
  </si>
  <si>
    <t>Commission</t>
  </si>
  <si>
    <t>Net Revenue</t>
  </si>
  <si>
    <t>COGS</t>
  </si>
  <si>
    <t>Payroll</t>
  </si>
  <si>
    <t>Expenses</t>
  </si>
  <si>
    <t>NOI</t>
  </si>
  <si>
    <t>ROI</t>
  </si>
  <si>
    <t>Net Cash</t>
  </si>
  <si>
    <t>Average</t>
  </si>
  <si>
    <t>Labor Income</t>
  </si>
  <si>
    <t>Equipment Income</t>
  </si>
  <si>
    <t>Logistics Income</t>
  </si>
  <si>
    <t>Consumable / Sale Item Income</t>
  </si>
  <si>
    <t>Creative Content Income</t>
  </si>
  <si>
    <t>Rigging Income</t>
  </si>
  <si>
    <t>Power Income</t>
  </si>
  <si>
    <t>HSIA Icome</t>
  </si>
  <si>
    <t>Contract Commission Rates</t>
  </si>
  <si>
    <t>Sales By Category</t>
  </si>
  <si>
    <t>Salaried Full Time Staff</t>
  </si>
  <si>
    <t>Director</t>
  </si>
  <si>
    <t>Hourly Full Time Staff</t>
  </si>
  <si>
    <t>Technician 1</t>
  </si>
  <si>
    <t>Technician 2</t>
  </si>
  <si>
    <t>Technician 3</t>
  </si>
  <si>
    <t>Technician 4</t>
  </si>
  <si>
    <t>Hourly /Part Time / Seasonal Positions</t>
  </si>
  <si>
    <t>Technician 5</t>
  </si>
  <si>
    <t>Technician 6</t>
  </si>
  <si>
    <t>Technician 7</t>
  </si>
  <si>
    <t>Technician 8</t>
  </si>
  <si>
    <t>Technical Coordinator 1</t>
  </si>
  <si>
    <t>Technical Coordinator 2</t>
  </si>
  <si>
    <t>Technical Coordinator 3</t>
  </si>
  <si>
    <t>Technical Coordinator 4</t>
  </si>
  <si>
    <t>Technician 9</t>
  </si>
  <si>
    <t>Title</t>
  </si>
  <si>
    <t>Type</t>
  </si>
  <si>
    <t>Start Date</t>
  </si>
  <si>
    <t>Salary</t>
  </si>
  <si>
    <t>Year 0</t>
  </si>
  <si>
    <t>Year 1</t>
  </si>
  <si>
    <t>60050 Incentives and Bonuses</t>
  </si>
  <si>
    <t>60110 Profit Sharing</t>
  </si>
  <si>
    <t>Start Month</t>
  </si>
  <si>
    <t>Merit Increase</t>
  </si>
  <si>
    <t>Base Salary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</si>
  <si>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</si>
  <si>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</si>
  <si>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</si>
  <si>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</si>
  <si>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</si>
  <si>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</si>
  <si>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</si>
  <si>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</si>
  <si>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</si>
  <si>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Effective Annual Rate</t>
  </si>
  <si>
    <t>Months Worked</t>
  </si>
  <si>
    <t>Year Index (n)</t>
  </si>
  <si>
    <t>Service Months @ Yr Start</t>
  </si>
  <si>
    <t>Service Months @ Yr End</t>
  </si>
  <si>
    <t>Completed Service Yrs (k)</t>
  </si>
  <si>
    <t>Months at Rate k</t>
  </si>
  <si>
    <t>Months at Rate k+1</t>
  </si>
  <si>
    <t>Salary w/Benefits</t>
  </si>
  <si>
    <t>Merit Increase %</t>
  </si>
  <si>
    <t>Initial Investment</t>
  </si>
  <si>
    <t>Capex</t>
  </si>
  <si>
    <t>Signing Bonus</t>
  </si>
  <si>
    <t>Signing Bonus Amortization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</si>
</sst>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_(* #,##0_);_(* \(#,##0\);_(* \-??_);_(@_)"/>
    <numFmt numFmtId="166" formatCode="_(* #,##0.0_);_(* \(#,##0.0\);_(* \-??_);_(@_)"/>
    <numFmt numFmtId="167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rgb="FF808080"/>
      <name val="Cambria"/>
      <family val="1"/>
    </font>
    <font>
      <i/>
      <sz val="11"/>
      <color rgb="FF0000FF"/>
      <name val="Cambria"/>
      <family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164" fontId="0" fillId="0" borderId="0" xfId="1" applyNumberFormat="1" applyFont="1"/>
    <xf numFmtId="9" fontId="0" fillId="0" borderId="0" xfId="0" applyNumberFormat="1"/>
    <xf numFmtId="0" fontId="2" fillId="0" borderId="1" xfId="0" applyFont="1" applyBorder="1" applyAlignment="1">
      <alignment horizontal="centerContinuous"/>
    </xf>
    <xf numFmtId="10" fontId="0" fillId="2" borderId="0" xfId="0" applyNumberFormat="1" applyFill="1"/>
    <xf numFmtId="43" fontId="0" fillId="0" borderId="0" xfId="0" applyNumberFormat="1"/>
    <xf numFmtId="164" fontId="0" fillId="2" borderId="0" xfId="1" applyNumberFormat="1" applyFont="1" applyFill="1"/>
    <xf numFmtId="10" fontId="0" fillId="3" borderId="0" xfId="0" applyNumberFormat="1" applyFill="1"/>
    <xf numFmtId="164" fontId="0" fillId="0" borderId="0" xfId="0" applyNumberFormat="1"/>
    <xf numFmtId="10" fontId="0" fillId="0" borderId="0" xfId="0" applyNumberFormat="1"/>
    <xf numFmtId="0" fontId="0" fillId="2" borderId="0" xfId="0" applyFill="1"/>
    <xf numFmtId="4" fontId="0" fillId="0" borderId="0" xfId="1" applyNumberFormat="1" applyFont="1"/>
    <xf numFmtId="0" fontId="0" fillId="4" borderId="0" xfId="0" applyFill="1"/>
    <xf numFmtId="165" fontId="1" fillId="0" borderId="0" xfId="1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1" fontId="4" fillId="0" borderId="0" xfId="0" applyNumberFormat="1" applyFont="1"/>
    <xf numFmtId="166" fontId="3" fillId="0" borderId="0" xfId="0" applyNumberFormat="1" applyFont="1"/>
    <xf numFmtId="1" fontId="3" fillId="0" borderId="0" xfId="0" applyNumberFormat="1" applyFont="1"/>
    <xf numFmtId="167" fontId="0" fillId="2" borderId="0" xfId="0" applyNumberFormat="1" applyFill="1"/>
    <xf numFmtId="9" fontId="0" fillId="2" borderId="0" xfId="0" applyNumberFormat="1" applyFill="1"/>
    <xf numFmtId="164" fontId="0" fillId="0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C784D-D8A6-4E8C-96AE-84BC003D1CB1}">
  <dimension ref="B2:L97"/>
  <sheetViews>
    <sheetView showGridLines="0" tabSelected="1" workbookViewId="0">
      <pane xSplit="3" ySplit="3" topLeftCell="D58" activePane="bottomRight" state="frozen"/>
      <selection pane="topRight" activeCell="D1" sqref="D1"/>
      <selection pane="bottomLeft" activeCell="A4" sqref="A4"/>
      <selection pane="bottomRight" activeCell="D85" sqref="D85"/>
    </sheetView>
  </sheetViews>
  <sheetFormatPr defaultRowHeight="14.4" x14ac:dyDescent="0.3"/>
  <cols>
    <col min="3" max="3" width="21.44140625" bestFit="1" customWidth="1"/>
    <col min="4" max="4" width="18.33203125" customWidth="1"/>
    <col min="5" max="5" width="14.44140625" customWidth="1"/>
    <col min="6" max="6" width="17.33203125" customWidth="1"/>
    <col min="7" max="7" width="16.77734375" customWidth="1"/>
    <col min="8" max="9" width="25" bestFit="1" customWidth="1"/>
    <col min="10" max="10" width="11.21875" bestFit="1" customWidth="1"/>
    <col min="12" max="12" width="10.21875" bestFit="1" customWidth="1"/>
  </cols>
  <sheetData>
    <row r="2" spans="3:10" x14ac:dyDescent="0.3">
      <c r="D2" s="3" t="s">
        <v>1</v>
      </c>
      <c r="E2" s="3"/>
      <c r="F2" s="3"/>
      <c r="G2" s="3"/>
      <c r="H2" s="3"/>
      <c r="I2" s="3"/>
      <c r="J2" s="3"/>
    </row>
    <row r="3" spans="3:10" x14ac:dyDescent="0.3">
      <c r="D3" s="1">
        <v>0</v>
      </c>
      <c r="E3" s="1">
        <f>+D3+1</f>
        <v>1</v>
      </c>
      <c r="F3" s="1">
        <f t="shared" ref="F3:J3" si="0">+E3+1</f>
        <v>2</v>
      </c>
      <c r="G3" s="1">
        <f t="shared" si="0"/>
        <v>3</v>
      </c>
      <c r="H3" s="1">
        <f t="shared" si="0"/>
        <v>4</v>
      </c>
      <c r="I3" s="1">
        <f t="shared" si="0"/>
        <v>5</v>
      </c>
      <c r="J3" s="1">
        <f t="shared" si="0"/>
        <v>6</v>
      </c>
    </row>
    <row r="4" spans="3:10" x14ac:dyDescent="0.3">
      <c r="C4" t="s">
        <v>0</v>
      </c>
      <c r="D4" s="6">
        <v>967000</v>
      </c>
      <c r="E4" s="1">
        <f>+D4*(1+E5)</f>
        <v>967000</v>
      </c>
      <c r="F4" s="1">
        <f t="shared" ref="F4:J4" si="1">+E4*(1+F5)</f>
        <v>996010</v>
      </c>
      <c r="G4" s="1">
        <f t="shared" si="1"/>
        <v>1025890.3</v>
      </c>
      <c r="H4" s="1">
        <f t="shared" si="1"/>
        <v>1056667.0090000001</v>
      </c>
      <c r="I4" s="1">
        <f t="shared" si="1"/>
        <v>1088367.01927</v>
      </c>
      <c r="J4" s="1">
        <f t="shared" si="1"/>
        <v>1121018.0298481002</v>
      </c>
    </row>
    <row r="5" spans="3:10" x14ac:dyDescent="0.3">
      <c r="C5" t="s">
        <v>2</v>
      </c>
      <c r="D5" s="1"/>
      <c r="E5" s="4">
        <v>0</v>
      </c>
      <c r="F5" s="4">
        <v>0.03</v>
      </c>
      <c r="G5" s="4">
        <v>0.03</v>
      </c>
      <c r="H5" s="4">
        <v>0.03</v>
      </c>
      <c r="I5" s="4">
        <v>0.03</v>
      </c>
      <c r="J5" s="4">
        <v>0.03</v>
      </c>
    </row>
    <row r="6" spans="3:10" x14ac:dyDescent="0.3">
      <c r="C6" t="s">
        <v>11</v>
      </c>
      <c r="E6" s="9">
        <v>2.75E-2</v>
      </c>
      <c r="F6" s="9">
        <v>2.75E-2</v>
      </c>
      <c r="G6" s="9">
        <v>2.75E-2</v>
      </c>
      <c r="H6" s="9">
        <v>2.75E-2</v>
      </c>
      <c r="I6" s="9">
        <v>2.75E-2</v>
      </c>
      <c r="J6" s="9">
        <v>2.75E-2</v>
      </c>
    </row>
    <row r="8" spans="3:10" x14ac:dyDescent="0.3">
      <c r="C8" t="s">
        <v>3</v>
      </c>
      <c r="E8" s="1">
        <f t="shared" ref="E8:J8" si="2">+E4*E9</f>
        <v>477910.74</v>
      </c>
      <c r="F8" s="1">
        <f t="shared" si="2"/>
        <v>492248.06219999999</v>
      </c>
      <c r="G8" s="1">
        <f t="shared" si="2"/>
        <v>507015.50406599999</v>
      </c>
      <c r="H8" s="1">
        <f t="shared" si="2"/>
        <v>522225.96918798005</v>
      </c>
      <c r="I8" s="1">
        <f t="shared" si="2"/>
        <v>537892.74826361937</v>
      </c>
      <c r="J8" s="1">
        <f t="shared" si="2"/>
        <v>554029.53071152803</v>
      </c>
    </row>
    <row r="9" spans="3:10" x14ac:dyDescent="0.3">
      <c r="E9" s="4">
        <f>+SUMPRODUCT(D13:D20,D23:D30)</f>
        <v>0.49421999999999999</v>
      </c>
      <c r="F9" s="9">
        <f>+$E$9</f>
        <v>0.49421999999999999</v>
      </c>
      <c r="G9" s="9">
        <f t="shared" ref="G9:J9" si="3">+$E$9</f>
        <v>0.49421999999999999</v>
      </c>
      <c r="H9" s="9">
        <f t="shared" si="3"/>
        <v>0.49421999999999999</v>
      </c>
      <c r="I9" s="9">
        <f t="shared" si="3"/>
        <v>0.49421999999999999</v>
      </c>
      <c r="J9" s="9">
        <f t="shared" si="3"/>
        <v>0.49421999999999999</v>
      </c>
    </row>
    <row r="12" spans="3:10" x14ac:dyDescent="0.3">
      <c r="C12" t="s">
        <v>20</v>
      </c>
    </row>
    <row r="13" spans="3:10" x14ac:dyDescent="0.3">
      <c r="C13" t="s">
        <v>12</v>
      </c>
      <c r="D13" s="9">
        <v>0.49</v>
      </c>
    </row>
    <row r="14" spans="3:10" x14ac:dyDescent="0.3">
      <c r="C14" t="s">
        <v>13</v>
      </c>
      <c r="D14" s="9">
        <v>0.49</v>
      </c>
    </row>
    <row r="15" spans="3:10" x14ac:dyDescent="0.3">
      <c r="C15" t="s">
        <v>14</v>
      </c>
      <c r="D15" s="9">
        <v>0.49</v>
      </c>
    </row>
    <row r="16" spans="3:10" x14ac:dyDescent="0.3">
      <c r="C16" t="s">
        <v>15</v>
      </c>
      <c r="D16" s="9">
        <v>0.49</v>
      </c>
    </row>
    <row r="17" spans="3:4" x14ac:dyDescent="0.3">
      <c r="C17" t="s">
        <v>16</v>
      </c>
      <c r="D17" s="9">
        <v>0.3</v>
      </c>
    </row>
    <row r="18" spans="3:4" x14ac:dyDescent="0.3">
      <c r="C18" t="s">
        <v>17</v>
      </c>
      <c r="D18" s="9">
        <v>0.3</v>
      </c>
    </row>
    <row r="19" spans="3:4" x14ac:dyDescent="0.3">
      <c r="C19" t="s">
        <v>18</v>
      </c>
      <c r="D19" s="9">
        <v>0.75</v>
      </c>
    </row>
    <row r="20" spans="3:4" x14ac:dyDescent="0.3">
      <c r="C20" t="s">
        <v>19</v>
      </c>
      <c r="D20" s="9">
        <v>0.75</v>
      </c>
    </row>
    <row r="22" spans="3:4" x14ac:dyDescent="0.3">
      <c r="C22" t="s">
        <v>21</v>
      </c>
    </row>
    <row r="23" spans="3:4" x14ac:dyDescent="0.3">
      <c r="C23" t="s">
        <v>12</v>
      </c>
      <c r="D23" s="9">
        <v>0.4003000000000001</v>
      </c>
    </row>
    <row r="24" spans="3:4" x14ac:dyDescent="0.3">
      <c r="C24" t="s">
        <v>13</v>
      </c>
      <c r="D24" s="9">
        <v>0.56110000000000004</v>
      </c>
    </row>
    <row r="25" spans="3:4" x14ac:dyDescent="0.3">
      <c r="C25" t="s">
        <v>14</v>
      </c>
      <c r="D25" s="9">
        <v>1.9599999999999999E-2</v>
      </c>
    </row>
    <row r="26" spans="3:4" x14ac:dyDescent="0.3">
      <c r="C26" t="s">
        <v>15</v>
      </c>
      <c r="D26" s="9">
        <v>0</v>
      </c>
    </row>
    <row r="27" spans="3:4" x14ac:dyDescent="0.3">
      <c r="C27" t="s">
        <v>16</v>
      </c>
      <c r="D27" s="9">
        <v>1.4E-3</v>
      </c>
    </row>
    <row r="28" spans="3:4" x14ac:dyDescent="0.3">
      <c r="C28" t="s">
        <v>17</v>
      </c>
      <c r="D28" s="9">
        <v>2.0000000000000001E-4</v>
      </c>
    </row>
    <row r="29" spans="3:4" x14ac:dyDescent="0.3">
      <c r="C29" t="s">
        <v>18</v>
      </c>
      <c r="D29" s="9">
        <v>0</v>
      </c>
    </row>
    <row r="30" spans="3:4" x14ac:dyDescent="0.3">
      <c r="C30" t="s">
        <v>19</v>
      </c>
      <c r="D30" s="9">
        <v>1.7399999999999999E-2</v>
      </c>
    </row>
    <row r="34" spans="2:12" x14ac:dyDescent="0.3">
      <c r="C34" t="s">
        <v>4</v>
      </c>
      <c r="E34" s="1">
        <f t="shared" ref="E34:J34" si="4">+E4-E8</f>
        <v>489089.26</v>
      </c>
      <c r="F34" s="1">
        <f t="shared" si="4"/>
        <v>503761.93780000001</v>
      </c>
      <c r="G34" s="1">
        <f t="shared" si="4"/>
        <v>518874.79593400005</v>
      </c>
      <c r="H34" s="1">
        <f t="shared" si="4"/>
        <v>534441.03981202003</v>
      </c>
      <c r="I34" s="1">
        <f t="shared" si="4"/>
        <v>550474.27100638067</v>
      </c>
      <c r="J34" s="1">
        <f t="shared" si="4"/>
        <v>566988.49913657212</v>
      </c>
    </row>
    <row r="36" spans="2:12" x14ac:dyDescent="0.3">
      <c r="B36" s="5"/>
      <c r="C36" t="s">
        <v>5</v>
      </c>
      <c r="E36" s="1">
        <f>+E34*E37</f>
        <v>48908.926000000007</v>
      </c>
      <c r="F36" s="1">
        <f t="shared" ref="F36:J36" si="5">+F34*F37</f>
        <v>50376.193780000001</v>
      </c>
      <c r="G36" s="1">
        <f t="shared" si="5"/>
        <v>51887.479593400007</v>
      </c>
      <c r="H36" s="1">
        <f t="shared" si="5"/>
        <v>53444.103981202003</v>
      </c>
      <c r="I36" s="1">
        <f t="shared" si="5"/>
        <v>55047.427100638073</v>
      </c>
      <c r="J36" s="1">
        <f t="shared" si="5"/>
        <v>56698.849913657214</v>
      </c>
    </row>
    <row r="37" spans="2:12" x14ac:dyDescent="0.3">
      <c r="E37" s="4">
        <v>0.1</v>
      </c>
      <c r="F37" s="4">
        <v>0.1</v>
      </c>
      <c r="G37" s="4">
        <v>0.1</v>
      </c>
      <c r="H37" s="4">
        <v>0.1</v>
      </c>
      <c r="I37" s="4">
        <v>0.1</v>
      </c>
      <c r="J37" s="4">
        <v>0.1</v>
      </c>
    </row>
    <row r="40" spans="2:12" x14ac:dyDescent="0.3">
      <c r="B40" s="5"/>
      <c r="C40" t="s">
        <v>6</v>
      </c>
      <c r="E40" s="1">
        <f>+SUMIFS('Payroll Calculation'!H:H,'Payroll Calculation'!$B:$B,"Salary")+(($F$61*E4)+$F$62*(E4-E8))</f>
        <v>247731.22938900001</v>
      </c>
      <c r="F40" s="1">
        <f>+SUMIFS('Payroll Calculation'!I:I,'Payroll Calculation'!$B:$B,"Salary")+(($F$61*F4)+$F$62*(F4-F8))</f>
        <v>255163.16627067004</v>
      </c>
      <c r="G40" s="1">
        <f>+SUMIFS('Payroll Calculation'!J:J,'Payroll Calculation'!$B:$B,"Salary")+(($F$61*G4)+$F$62*(G4-G8))</f>
        <v>262818.06125879008</v>
      </c>
      <c r="H40" s="1">
        <f>+SUMIFS('Payroll Calculation'!K:K,'Payroll Calculation'!$B:$B,"Salary")+(($F$61*H4)+$F$62*(H4-H8))</f>
        <v>270702.60309655382</v>
      </c>
      <c r="I40" s="1">
        <f>+SUMIFS('Payroll Calculation'!L:L,'Payroll Calculation'!$B:$B,"Salary")+(($F$61*I4)+$F$62*(I4-I8))</f>
        <v>278823.68118945044</v>
      </c>
      <c r="J40" s="1">
        <f>+SUMIFS('Payroll Calculation'!M:M,'Payroll Calculation'!$B:$B,"Salary")+(($F$61*J4)+$F$62*(J4-J8))</f>
        <v>287188.39162513387</v>
      </c>
      <c r="L40" s="1"/>
    </row>
    <row r="41" spans="2:12" x14ac:dyDescent="0.3">
      <c r="E41" s="9">
        <f>+E40/(E4-E8)</f>
        <v>0.50651537387878853</v>
      </c>
      <c r="F41" s="9">
        <f t="shared" ref="F41:J41" si="6">+F40/(F4-F8)</f>
        <v>0.50651537387878853</v>
      </c>
      <c r="G41" s="9">
        <f t="shared" si="6"/>
        <v>0.50651537387878842</v>
      </c>
      <c r="H41" s="9">
        <f t="shared" si="6"/>
        <v>0.50651537387878853</v>
      </c>
      <c r="I41" s="9">
        <f t="shared" si="6"/>
        <v>0.50651537387878842</v>
      </c>
      <c r="J41" s="9">
        <f t="shared" si="6"/>
        <v>0.50651537387878831</v>
      </c>
      <c r="L41" s="5"/>
    </row>
    <row r="42" spans="2:12" x14ac:dyDescent="0.3">
      <c r="E42" s="5"/>
    </row>
    <row r="43" spans="2:12" x14ac:dyDescent="0.3">
      <c r="C43" t="s">
        <v>68</v>
      </c>
      <c r="D43" s="21">
        <v>0.03</v>
      </c>
      <c r="E43" s="5"/>
    </row>
    <row r="45" spans="2:12" x14ac:dyDescent="0.3">
      <c r="C45" t="s">
        <v>40</v>
      </c>
      <c r="D45" t="s">
        <v>39</v>
      </c>
      <c r="E45" t="s">
        <v>41</v>
      </c>
      <c r="F45" t="s">
        <v>42</v>
      </c>
      <c r="G45" t="s">
        <v>67</v>
      </c>
    </row>
    <row r="46" spans="2:12" x14ac:dyDescent="0.3">
      <c r="B46">
        <v>1</v>
      </c>
      <c r="C46" t="s">
        <v>22</v>
      </c>
      <c r="D46" s="10" t="s">
        <v>23</v>
      </c>
      <c r="E46" s="10">
        <v>-2</v>
      </c>
      <c r="F46" s="6">
        <v>78000</v>
      </c>
      <c r="G46" s="1">
        <f t="shared" ref="G46:G51" si="7">+F46*(1+0.133)</f>
        <v>88374</v>
      </c>
      <c r="H46" s="5"/>
    </row>
    <row r="47" spans="2:12" x14ac:dyDescent="0.3">
      <c r="B47">
        <f>+B46+1</f>
        <v>2</v>
      </c>
      <c r="C47" t="s">
        <v>22</v>
      </c>
      <c r="D47" s="10" t="s">
        <v>34</v>
      </c>
      <c r="E47" s="10">
        <v>-2</v>
      </c>
      <c r="F47" s="6">
        <v>55000</v>
      </c>
      <c r="G47" s="1">
        <f t="shared" si="7"/>
        <v>62315</v>
      </c>
      <c r="H47" s="5"/>
    </row>
    <row r="48" spans="2:12" x14ac:dyDescent="0.3">
      <c r="B48">
        <f t="shared" ref="B48:B59" si="8">+B47+1</f>
        <v>3</v>
      </c>
      <c r="C48" t="s">
        <v>22</v>
      </c>
      <c r="D48" s="10" t="s">
        <v>35</v>
      </c>
      <c r="E48" s="10">
        <v>-2</v>
      </c>
      <c r="F48" s="6">
        <v>0</v>
      </c>
      <c r="G48" s="1">
        <f t="shared" si="7"/>
        <v>0</v>
      </c>
      <c r="H48" s="5"/>
    </row>
    <row r="49" spans="2:10" x14ac:dyDescent="0.3">
      <c r="B49">
        <f t="shared" si="8"/>
        <v>4</v>
      </c>
      <c r="C49" t="s">
        <v>22</v>
      </c>
      <c r="D49" s="10" t="s">
        <v>36</v>
      </c>
      <c r="E49" s="10">
        <v>-2</v>
      </c>
      <c r="F49" s="6">
        <v>0</v>
      </c>
      <c r="G49" s="1">
        <f t="shared" si="7"/>
        <v>0</v>
      </c>
      <c r="H49" s="5"/>
    </row>
    <row r="50" spans="2:10" x14ac:dyDescent="0.3">
      <c r="B50">
        <f t="shared" si="8"/>
        <v>5</v>
      </c>
      <c r="C50" t="s">
        <v>22</v>
      </c>
      <c r="D50" s="10" t="s">
        <v>37</v>
      </c>
      <c r="E50" s="10">
        <v>-2</v>
      </c>
      <c r="F50" s="6">
        <v>0</v>
      </c>
      <c r="G50" s="1">
        <f t="shared" si="7"/>
        <v>0</v>
      </c>
      <c r="H50" s="5"/>
    </row>
    <row r="51" spans="2:10" x14ac:dyDescent="0.3">
      <c r="B51">
        <f t="shared" si="8"/>
        <v>6</v>
      </c>
      <c r="C51" t="s">
        <v>24</v>
      </c>
      <c r="D51" s="10" t="s">
        <v>25</v>
      </c>
      <c r="E51" s="10">
        <v>-2</v>
      </c>
      <c r="F51" s="6">
        <v>45670</v>
      </c>
      <c r="G51" s="1">
        <f t="shared" si="7"/>
        <v>51744.11</v>
      </c>
      <c r="H51" s="5"/>
    </row>
    <row r="52" spans="2:10" x14ac:dyDescent="0.3">
      <c r="B52">
        <f t="shared" si="8"/>
        <v>7</v>
      </c>
      <c r="C52" t="s">
        <v>24</v>
      </c>
      <c r="D52" s="10" t="s">
        <v>26</v>
      </c>
      <c r="E52" s="10">
        <v>-2</v>
      </c>
      <c r="F52" s="6">
        <v>0</v>
      </c>
      <c r="G52" s="1">
        <f t="shared" ref="G52:G55" si="9">+F52*(1+0.133)</f>
        <v>0</v>
      </c>
      <c r="H52" s="5"/>
    </row>
    <row r="53" spans="2:10" x14ac:dyDescent="0.3">
      <c r="B53">
        <f t="shared" si="8"/>
        <v>8</v>
      </c>
      <c r="C53" t="s">
        <v>24</v>
      </c>
      <c r="D53" s="10" t="s">
        <v>27</v>
      </c>
      <c r="E53" s="10">
        <v>-2</v>
      </c>
      <c r="F53" s="6">
        <v>0</v>
      </c>
      <c r="G53" s="1">
        <f t="shared" si="9"/>
        <v>0</v>
      </c>
      <c r="H53" s="5"/>
    </row>
    <row r="54" spans="2:10" x14ac:dyDescent="0.3">
      <c r="B54">
        <f t="shared" si="8"/>
        <v>9</v>
      </c>
      <c r="C54" t="s">
        <v>24</v>
      </c>
      <c r="D54" s="10" t="s">
        <v>28</v>
      </c>
      <c r="E54" s="10">
        <v>-2</v>
      </c>
      <c r="F54" s="6">
        <v>0</v>
      </c>
      <c r="G54" s="1">
        <f t="shared" si="9"/>
        <v>0</v>
      </c>
      <c r="H54" s="5"/>
    </row>
    <row r="55" spans="2:10" x14ac:dyDescent="0.3">
      <c r="B55">
        <f t="shared" si="8"/>
        <v>10</v>
      </c>
      <c r="C55" t="s">
        <v>24</v>
      </c>
      <c r="D55" s="10" t="s">
        <v>30</v>
      </c>
      <c r="E55" s="10">
        <v>-2</v>
      </c>
      <c r="F55" s="6">
        <v>0</v>
      </c>
      <c r="G55" s="1">
        <f t="shared" si="9"/>
        <v>0</v>
      </c>
      <c r="H55" s="5"/>
    </row>
    <row r="56" spans="2:10" x14ac:dyDescent="0.3">
      <c r="B56">
        <f t="shared" si="8"/>
        <v>11</v>
      </c>
      <c r="C56" t="s">
        <v>29</v>
      </c>
      <c r="D56" s="10" t="s">
        <v>31</v>
      </c>
      <c r="E56" s="10">
        <v>-2</v>
      </c>
      <c r="F56" s="6">
        <v>22880</v>
      </c>
      <c r="G56" s="1">
        <f>+F56*(1+8.85%)</f>
        <v>24904.880000000001</v>
      </c>
      <c r="H56" s="5"/>
    </row>
    <row r="57" spans="2:10" x14ac:dyDescent="0.3">
      <c r="B57">
        <f t="shared" si="8"/>
        <v>12</v>
      </c>
      <c r="C57" t="s">
        <v>29</v>
      </c>
      <c r="D57" s="10" t="s">
        <v>32</v>
      </c>
      <c r="E57" s="10">
        <v>-2</v>
      </c>
      <c r="F57" s="6">
        <v>0</v>
      </c>
      <c r="G57" s="1">
        <f t="shared" ref="G57:G59" si="10">+F57*(1+8.85%)</f>
        <v>0</v>
      </c>
    </row>
    <row r="58" spans="2:10" x14ac:dyDescent="0.3">
      <c r="B58">
        <f t="shared" si="8"/>
        <v>13</v>
      </c>
      <c r="C58" t="s">
        <v>29</v>
      </c>
      <c r="D58" s="10" t="s">
        <v>33</v>
      </c>
      <c r="E58" s="10">
        <v>-2</v>
      </c>
      <c r="F58" s="6">
        <v>0</v>
      </c>
      <c r="G58" s="1">
        <f t="shared" si="10"/>
        <v>0</v>
      </c>
    </row>
    <row r="59" spans="2:10" x14ac:dyDescent="0.3">
      <c r="B59">
        <f t="shared" si="8"/>
        <v>14</v>
      </c>
      <c r="C59" t="s">
        <v>29</v>
      </c>
      <c r="D59" s="10" t="s">
        <v>38</v>
      </c>
      <c r="E59" s="10">
        <v>-2</v>
      </c>
      <c r="F59" s="6">
        <v>0</v>
      </c>
      <c r="G59" s="1">
        <f t="shared" si="10"/>
        <v>0</v>
      </c>
    </row>
    <row r="60" spans="2:10" x14ac:dyDescent="0.3">
      <c r="G60" s="1"/>
    </row>
    <row r="61" spans="2:10" x14ac:dyDescent="0.3">
      <c r="C61" t="s">
        <v>45</v>
      </c>
      <c r="F61" s="20">
        <v>1.6E-2</v>
      </c>
      <c r="G61" s="1"/>
    </row>
    <row r="62" spans="2:10" x14ac:dyDescent="0.3">
      <c r="C62" t="s">
        <v>46</v>
      </c>
      <c r="F62" s="20">
        <v>8.8999999999999999E-3</v>
      </c>
    </row>
    <row r="64" spans="2:10" x14ac:dyDescent="0.3">
      <c r="C64" t="s">
        <v>72</v>
      </c>
      <c r="E64" s="8">
        <f>+$D$77/$J$3+E80</f>
        <v>10000</v>
      </c>
      <c r="F64" s="8">
        <f t="shared" ref="F64:J64" si="11">+$D$77/$J$3+F80</f>
        <v>10000</v>
      </c>
      <c r="G64" s="8">
        <f t="shared" si="11"/>
        <v>10000</v>
      </c>
      <c r="H64" s="8">
        <f t="shared" si="11"/>
        <v>10000</v>
      </c>
      <c r="I64" s="8">
        <f t="shared" si="11"/>
        <v>10000</v>
      </c>
      <c r="J64" s="8">
        <f t="shared" si="11"/>
        <v>10000</v>
      </c>
    </row>
    <row r="65" spans="3:10" x14ac:dyDescent="0.3">
      <c r="C65" t="s">
        <v>7</v>
      </c>
      <c r="E65" s="1">
        <f t="shared" ref="E65:J65" si="12">+E34*E66</f>
        <v>31790.801900000002</v>
      </c>
      <c r="F65" s="1">
        <f t="shared" si="12"/>
        <v>32744.525957000002</v>
      </c>
      <c r="G65" s="1">
        <f t="shared" si="12"/>
        <v>33726.861735710001</v>
      </c>
      <c r="H65" s="1">
        <f t="shared" si="12"/>
        <v>34738.667587781303</v>
      </c>
      <c r="I65" s="1">
        <f t="shared" si="12"/>
        <v>35780.827615414746</v>
      </c>
      <c r="J65" s="1">
        <f t="shared" si="12"/>
        <v>36854.252443877187</v>
      </c>
    </row>
    <row r="66" spans="3:10" x14ac:dyDescent="0.3">
      <c r="E66" s="4">
        <v>6.5000000000000002E-2</v>
      </c>
      <c r="F66" s="4">
        <v>6.5000000000000002E-2</v>
      </c>
      <c r="G66" s="4">
        <v>6.5000000000000002E-2</v>
      </c>
      <c r="H66" s="4">
        <v>6.5000000000000002E-2</v>
      </c>
      <c r="I66" s="4">
        <v>6.5000000000000002E-2</v>
      </c>
      <c r="J66" s="4">
        <v>6.5000000000000002E-2</v>
      </c>
    </row>
    <row r="68" spans="3:10" x14ac:dyDescent="0.3">
      <c r="C68" t="s">
        <v>8</v>
      </c>
      <c r="E68" s="1">
        <f>+E34-E36-E40-E65-E64</f>
        <v>150658.30271100003</v>
      </c>
      <c r="F68" s="1">
        <f t="shared" ref="F68:J68" si="13">+F34-F36-F40-F65-F64</f>
        <v>155478.05179232993</v>
      </c>
      <c r="G68" s="1">
        <f t="shared" si="13"/>
        <v>160442.39334609994</v>
      </c>
      <c r="H68" s="1">
        <f t="shared" si="13"/>
        <v>165555.6651464829</v>
      </c>
      <c r="I68" s="1">
        <f t="shared" si="13"/>
        <v>170822.33510087745</v>
      </c>
      <c r="J68" s="1">
        <f t="shared" si="13"/>
        <v>176247.00515390382</v>
      </c>
    </row>
    <row r="69" spans="3:10" x14ac:dyDescent="0.3">
      <c r="E69" s="9">
        <f t="shared" ref="E69:J69" si="14">+E68/E34</f>
        <v>0.30803846052763462</v>
      </c>
      <c r="F69" s="9">
        <f t="shared" si="14"/>
        <v>0.30863397991385511</v>
      </c>
      <c r="G69" s="9">
        <f t="shared" si="14"/>
        <v>0.30921215407523461</v>
      </c>
      <c r="H69" s="9">
        <f t="shared" si="14"/>
        <v>0.30977348821249601</v>
      </c>
      <c r="I69" s="9">
        <f t="shared" si="14"/>
        <v>0.3103184728117791</v>
      </c>
      <c r="J69" s="9">
        <f t="shared" si="14"/>
        <v>0.31084758407321894</v>
      </c>
    </row>
    <row r="72" spans="3:10" x14ac:dyDescent="0.3">
      <c r="C72" t="s">
        <v>70</v>
      </c>
      <c r="D72" s="1">
        <f>+E4*D73</f>
        <v>243200.5</v>
      </c>
      <c r="E72" s="1">
        <f t="shared" ref="E72:J72" si="15">+E73*E4</f>
        <v>0</v>
      </c>
      <c r="F72" s="1">
        <f t="shared" si="15"/>
        <v>31374.314999999999</v>
      </c>
      <c r="G72" s="1">
        <f t="shared" si="15"/>
        <v>32315.544450000001</v>
      </c>
      <c r="H72" s="1">
        <f t="shared" si="15"/>
        <v>33285.010783500002</v>
      </c>
      <c r="I72" s="1">
        <f t="shared" si="15"/>
        <v>34283.561107005</v>
      </c>
      <c r="J72" s="1">
        <f t="shared" si="15"/>
        <v>35312.067940215158</v>
      </c>
    </row>
    <row r="73" spans="3:10" x14ac:dyDescent="0.3">
      <c r="D73" s="4">
        <v>0.2515</v>
      </c>
      <c r="E73" s="4">
        <v>0</v>
      </c>
      <c r="F73" s="4">
        <v>3.15E-2</v>
      </c>
      <c r="G73" s="4">
        <v>3.15E-2</v>
      </c>
      <c r="H73" s="4">
        <v>3.15E-2</v>
      </c>
      <c r="I73" s="4">
        <v>3.15E-2</v>
      </c>
      <c r="J73" s="4">
        <v>3.15E-2</v>
      </c>
    </row>
    <row r="74" spans="3:10" x14ac:dyDescent="0.3">
      <c r="C74" t="s">
        <v>6</v>
      </c>
      <c r="D74" s="1">
        <f>+SUMIFS('Payroll Calculation'!$G$4:$G$155,'Payroll Calculation'!$B$4:$B$155,"Salary")</f>
        <v>18944.8325</v>
      </c>
      <c r="E74" s="5"/>
    </row>
    <row r="75" spans="3:10" x14ac:dyDescent="0.3">
      <c r="C75" t="s">
        <v>7</v>
      </c>
      <c r="D75" s="1">
        <f>+D76*E4</f>
        <v>6935.853094970088</v>
      </c>
    </row>
    <row r="76" spans="3:10" x14ac:dyDescent="0.3">
      <c r="D76" s="4">
        <v>7.172547150951487E-3</v>
      </c>
    </row>
    <row r="77" spans="3:10" x14ac:dyDescent="0.3">
      <c r="C77" t="s">
        <v>71</v>
      </c>
      <c r="D77" s="6">
        <v>60000</v>
      </c>
      <c r="E77" s="22"/>
      <c r="F77" s="22"/>
      <c r="G77" s="22"/>
      <c r="H77" s="22"/>
      <c r="I77" s="22"/>
      <c r="J77" s="22"/>
    </row>
    <row r="78" spans="3:10" x14ac:dyDescent="0.3">
      <c r="C78" t="s">
        <v>69</v>
      </c>
      <c r="D78" s="8">
        <f>+D72+D74+D75+D77</f>
        <v>329081.18559497013</v>
      </c>
      <c r="E78" s="8"/>
      <c r="F78" s="8"/>
      <c r="G78" s="8"/>
      <c r="H78" s="8"/>
      <c r="I78" s="8"/>
      <c r="J78" s="8"/>
    </row>
    <row r="80" spans="3:10" x14ac:dyDescent="0.3">
      <c r="C80" t="s">
        <v>71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</row>
    <row r="86" spans="3:10" x14ac:dyDescent="0.3">
      <c r="C86" t="s">
        <v>10</v>
      </c>
      <c r="D86" s="1">
        <f>+D68-D78</f>
        <v>-329081.18559497013</v>
      </c>
      <c r="E86" s="1">
        <f>+E68-E72-E80+E64</f>
        <v>160658.30271100003</v>
      </c>
      <c r="F86" s="1">
        <f t="shared" ref="F86:J86" si="16">+F68-F72-F80+F64</f>
        <v>134103.73679232993</v>
      </c>
      <c r="G86" s="1">
        <f t="shared" si="16"/>
        <v>138126.84889609995</v>
      </c>
      <c r="H86" s="1">
        <f t="shared" si="16"/>
        <v>142270.6543629829</v>
      </c>
      <c r="I86" s="1">
        <f t="shared" si="16"/>
        <v>146538.77399387246</v>
      </c>
      <c r="J86" s="1">
        <f t="shared" si="16"/>
        <v>150934.93721368868</v>
      </c>
    </row>
    <row r="88" spans="3:10" x14ac:dyDescent="0.3">
      <c r="C88" t="s">
        <v>9</v>
      </c>
      <c r="D88" s="7">
        <f>+RATE(6,,D86,SUM(D86:J86))</f>
        <v>8.7233978388727762E-2</v>
      </c>
    </row>
    <row r="89" spans="3:10" x14ac:dyDescent="0.3">
      <c r="D89" s="2"/>
    </row>
    <row r="93" spans="3:10" x14ac:dyDescent="0.3">
      <c r="D93" s="5"/>
    </row>
    <row r="96" spans="3:10" x14ac:dyDescent="0.3">
      <c r="E96" s="1"/>
      <c r="F96" s="1"/>
      <c r="G96" s="1"/>
      <c r="H96" s="1"/>
      <c r="I96" s="1"/>
      <c r="J96" s="1"/>
    </row>
    <row r="97" spans="5:10" x14ac:dyDescent="0.3">
      <c r="E97" s="8"/>
      <c r="F97" s="8"/>
      <c r="G97" s="8"/>
      <c r="H97" s="8"/>
      <c r="I97" s="8"/>
      <c r="J97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F15BB-0A78-4A48-9F8E-E662B86CF1B4}">
  <dimension ref="B3:EH155"/>
  <sheetViews>
    <sheetView topLeftCell="A155" workbookViewId="0">
      <selection activeCell="G4" sqref="G4"/>
    </sheetView>
  </sheetViews>
  <sheetFormatPr defaultRowHeight="14.4" x14ac:dyDescent="0.3"/>
  <cols>
    <col min="2" max="2" width="20.21875" bestFit="1" customWidth="1"/>
    <col min="3" max="3" width="12.33203125" bestFit="1" customWidth="1"/>
    <col min="4" max="4" width="15.109375" bestFit="1" customWidth="1"/>
  </cols>
  <sheetData>
    <row r="3" spans="2:138" x14ac:dyDescent="0.3">
      <c r="C3" t="s">
        <v>47</v>
      </c>
      <c r="D3" t="s">
        <v>48</v>
      </c>
      <c r="E3" t="s">
        <v>49</v>
      </c>
      <c r="G3" t="s">
        <v>43</v>
      </c>
      <c r="H3" t="s">
        <v>44</v>
      </c>
      <c r="I3" t="s">
        <v>50</v>
      </c>
      <c r="J3" t="s">
        <v>51</v>
      </c>
      <c r="K3" t="s">
        <v>52</v>
      </c>
      <c r="L3" t="s">
        <v>53</v>
      </c>
      <c r="M3" t="s">
        <v>54</v>
      </c>
      <c r="N3" t="s">
        <v>55</v>
      </c>
      <c r="O3" t="s">
        <v>56</v>
      </c>
      <c r="P3" t="s">
        <v>57</v>
      </c>
      <c r="Q3" t="s">
        <v>58</v>
      </c>
    </row>
    <row r="4" spans="2:138" x14ac:dyDescent="0.3">
      <c r="B4" t="s">
        <v>42</v>
      </c>
      <c r="C4" s="12">
        <v>-1</v>
      </c>
      <c r="D4" s="2">
        <f>+Sheet1!$D$43</f>
        <v>0.03</v>
      </c>
      <c r="E4" s="13">
        <f>+Sheet1!$G$46</f>
        <v>88374</v>
      </c>
      <c r="G4" s="14">
        <f>E4*((1+D4)^G10*G11+(1+D4)^(G10+1)*G12)/12</f>
        <v>7364.5</v>
      </c>
      <c r="H4" s="14">
        <f>E4*((1+D4)^H10*H11+(1+D4)^(H10+1)*H12)/12</f>
        <v>88594.934999999998</v>
      </c>
      <c r="I4" s="13">
        <f>E4*((1+D4)^I10*I11+(1+D4)^(I10+1)*I12)/12</f>
        <v>91252.783050000013</v>
      </c>
      <c r="J4" s="13">
        <f>E4*((1+D4)^J10*J11+(1+D4)^(J10+1)*J12)/12</f>
        <v>93990.366541500014</v>
      </c>
      <c r="K4" s="13">
        <f>E4*((1+D4)^K10*K11+(1+D4)^(K10+1)*K12)/12</f>
        <v>96810.077537745005</v>
      </c>
      <c r="L4" s="13">
        <f>E4*((1+D4)^L10*L11+(1+D4)^(L10+1)*L12)/12</f>
        <v>99714.37986387733</v>
      </c>
      <c r="M4" s="13">
        <f>E4*((1+D4)^M10*M11+(1+D4)^(M10+1)*M12)/12</f>
        <v>102705.81125979364</v>
      </c>
      <c r="N4" s="13">
        <f>E4*((1+D4)^N10*N11+(1+D4)^(N10+1)*N12)/12</f>
        <v>105786.98559758748</v>
      </c>
      <c r="O4" s="13">
        <f>E4*((1+D4)^O10*O11+(1+D4)^(O10+1)*O12)/12</f>
        <v>108960.5951655151</v>
      </c>
      <c r="P4" s="13">
        <f>E4*((1+D4)^P10*P11+(1+D4)^(P10+1)*P12)/12</f>
        <v>112229.41302048054</v>
      </c>
      <c r="Q4" s="13">
        <f>E4*((1+D4)^Q10*Q11+(1+D4)^(Q10+1)*Q12)/12</f>
        <v>115596.29541109496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</row>
    <row r="5" spans="2:138" x14ac:dyDescent="0.3">
      <c r="B5" t="s">
        <v>59</v>
      </c>
      <c r="G5" s="14">
        <f t="shared" ref="G5:Q5" si="0">IF(G6=0,0,G4/G6*12)</f>
        <v>88374</v>
      </c>
      <c r="H5" s="14">
        <f t="shared" si="0"/>
        <v>88594.934999999998</v>
      </c>
      <c r="I5" s="14">
        <f t="shared" si="0"/>
        <v>91252.783050000013</v>
      </c>
      <c r="J5" s="14">
        <f t="shared" si="0"/>
        <v>93990.366541500014</v>
      </c>
      <c r="K5" s="14">
        <f t="shared" si="0"/>
        <v>96810.077537745005</v>
      </c>
      <c r="L5" s="14">
        <f t="shared" si="0"/>
        <v>99714.379863877344</v>
      </c>
      <c r="M5" s="14">
        <f t="shared" si="0"/>
        <v>102705.81125979364</v>
      </c>
      <c r="N5" s="14">
        <f t="shared" si="0"/>
        <v>105786.98559758748</v>
      </c>
      <c r="O5" s="14">
        <f t="shared" si="0"/>
        <v>108960.59516551511</v>
      </c>
      <c r="P5" s="14">
        <f t="shared" si="0"/>
        <v>112229.41302048054</v>
      </c>
      <c r="Q5" s="14">
        <f t="shared" si="0"/>
        <v>115596.29541109496</v>
      </c>
    </row>
    <row r="6" spans="2:138" x14ac:dyDescent="0.3">
      <c r="B6" t="s">
        <v>60</v>
      </c>
      <c r="G6" s="15">
        <f t="shared" ref="G6:Q6" si="1">+G9-G8</f>
        <v>1</v>
      </c>
      <c r="H6" s="15">
        <f t="shared" si="1"/>
        <v>12</v>
      </c>
      <c r="I6" s="15">
        <f t="shared" si="1"/>
        <v>12</v>
      </c>
      <c r="J6" s="15">
        <f t="shared" si="1"/>
        <v>12</v>
      </c>
      <c r="K6" s="15">
        <f t="shared" si="1"/>
        <v>12</v>
      </c>
      <c r="L6" s="15">
        <f t="shared" si="1"/>
        <v>12</v>
      </c>
      <c r="M6" s="15">
        <f t="shared" si="1"/>
        <v>12</v>
      </c>
      <c r="N6" s="15">
        <f t="shared" si="1"/>
        <v>12</v>
      </c>
      <c r="O6" s="15">
        <f t="shared" si="1"/>
        <v>12</v>
      </c>
      <c r="P6" s="15">
        <f t="shared" si="1"/>
        <v>12</v>
      </c>
      <c r="Q6" s="15">
        <f t="shared" si="1"/>
        <v>12</v>
      </c>
    </row>
    <row r="7" spans="2:138" x14ac:dyDescent="0.3">
      <c r="B7" s="16" t="s">
        <v>61</v>
      </c>
      <c r="G7" s="17">
        <v>0</v>
      </c>
      <c r="H7" s="17">
        <v>1</v>
      </c>
      <c r="I7" s="17">
        <v>2</v>
      </c>
      <c r="J7" s="17">
        <v>3</v>
      </c>
      <c r="K7" s="17">
        <v>4</v>
      </c>
      <c r="L7" s="17">
        <v>5</v>
      </c>
      <c r="M7" s="17">
        <v>6</v>
      </c>
      <c r="N7" s="17">
        <v>7</v>
      </c>
      <c r="O7" s="17">
        <v>8</v>
      </c>
      <c r="P7" s="17">
        <v>9</v>
      </c>
      <c r="Q7" s="17">
        <v>10</v>
      </c>
    </row>
    <row r="8" spans="2:138" x14ac:dyDescent="0.3">
      <c r="B8" s="16" t="s">
        <v>62</v>
      </c>
      <c r="G8" s="18">
        <f>MAX(0,12*(G7-1)-C4)</f>
        <v>0</v>
      </c>
      <c r="H8" s="18">
        <f>MAX(0,12*(H7-1)-C4)</f>
        <v>1</v>
      </c>
      <c r="I8" s="18">
        <f>MAX(0,12*(I7-1)-C4)</f>
        <v>13</v>
      </c>
      <c r="J8" s="18">
        <f>MAX(0,12*(J7-1)-C4)</f>
        <v>25</v>
      </c>
      <c r="K8" s="18">
        <f>MAX(0,12*(K7-1)-C4)</f>
        <v>37</v>
      </c>
      <c r="L8" s="18">
        <f>MAX(0,12*(L7-1)-C4)</f>
        <v>49</v>
      </c>
      <c r="M8" s="18">
        <f>MAX(0,12*(M7-1)-C4)</f>
        <v>61</v>
      </c>
      <c r="N8" s="18">
        <f>MAX(0,12*(N7-1)-C4)</f>
        <v>73</v>
      </c>
      <c r="O8" s="18">
        <f>MAX(0,12*(O7-1)-C4)</f>
        <v>85</v>
      </c>
      <c r="P8" s="18">
        <f>MAX(0,12*(P7-1)-C4)</f>
        <v>97</v>
      </c>
      <c r="Q8" s="18">
        <f>MAX(0,12*(Q7-1)-C4)</f>
        <v>109</v>
      </c>
    </row>
    <row r="9" spans="2:138" x14ac:dyDescent="0.3">
      <c r="B9" s="16" t="s">
        <v>63</v>
      </c>
      <c r="G9" s="18">
        <f>MAX(0,12*G7-C4)</f>
        <v>1</v>
      </c>
      <c r="H9" s="18">
        <f>MAX(0,12*H7-C4)</f>
        <v>13</v>
      </c>
      <c r="I9" s="18">
        <f>MAX(0,12*I7-C4)</f>
        <v>25</v>
      </c>
      <c r="J9" s="18">
        <f>MAX(0,12*J7-C4)</f>
        <v>37</v>
      </c>
      <c r="K9" s="18">
        <f>MAX(0,12*K7-C4)</f>
        <v>49</v>
      </c>
      <c r="L9" s="18">
        <f>MAX(0,12*L7-C4)</f>
        <v>61</v>
      </c>
      <c r="M9" s="18">
        <f>MAX(0,12*M7-C4)</f>
        <v>73</v>
      </c>
      <c r="N9" s="18">
        <f>MAX(0,12*N7-C4)</f>
        <v>85</v>
      </c>
      <c r="O9" s="18">
        <f>MAX(0,12*O7-C4)</f>
        <v>97</v>
      </c>
      <c r="P9" s="18">
        <f>MAX(0,12*P7-C4)</f>
        <v>109</v>
      </c>
      <c r="Q9" s="18">
        <f>MAX(0,12*Q7-C4)</f>
        <v>121</v>
      </c>
    </row>
    <row r="10" spans="2:138" x14ac:dyDescent="0.3">
      <c r="B10" s="16" t="s">
        <v>64</v>
      </c>
      <c r="G10" s="19">
        <f t="shared" ref="G10:Q10" si="2">INT(G8/12)</f>
        <v>0</v>
      </c>
      <c r="H10" s="19">
        <f t="shared" si="2"/>
        <v>0</v>
      </c>
      <c r="I10" s="19">
        <f t="shared" si="2"/>
        <v>1</v>
      </c>
      <c r="J10" s="19">
        <f t="shared" si="2"/>
        <v>2</v>
      </c>
      <c r="K10" s="19">
        <f t="shared" si="2"/>
        <v>3</v>
      </c>
      <c r="L10" s="19">
        <f t="shared" si="2"/>
        <v>4</v>
      </c>
      <c r="M10" s="19">
        <f t="shared" si="2"/>
        <v>5</v>
      </c>
      <c r="N10" s="19">
        <f t="shared" si="2"/>
        <v>6</v>
      </c>
      <c r="O10" s="19">
        <f t="shared" si="2"/>
        <v>7</v>
      </c>
      <c r="P10" s="19">
        <f t="shared" si="2"/>
        <v>8</v>
      </c>
      <c r="Q10" s="19">
        <f t="shared" si="2"/>
        <v>9</v>
      </c>
    </row>
    <row r="11" spans="2:138" x14ac:dyDescent="0.3">
      <c r="B11" s="16" t="s">
        <v>65</v>
      </c>
      <c r="G11" s="18">
        <f t="shared" ref="G11:Q11" si="3">MIN(G9,12*(G10+1))-G8</f>
        <v>1</v>
      </c>
      <c r="H11" s="18">
        <f t="shared" si="3"/>
        <v>11</v>
      </c>
      <c r="I11" s="18">
        <f t="shared" si="3"/>
        <v>11</v>
      </c>
      <c r="J11" s="18">
        <f t="shared" si="3"/>
        <v>11</v>
      </c>
      <c r="K11" s="18">
        <f t="shared" si="3"/>
        <v>11</v>
      </c>
      <c r="L11" s="18">
        <f t="shared" si="3"/>
        <v>11</v>
      </c>
      <c r="M11" s="18">
        <f t="shared" si="3"/>
        <v>11</v>
      </c>
      <c r="N11" s="18">
        <f t="shared" si="3"/>
        <v>11</v>
      </c>
      <c r="O11" s="18">
        <f t="shared" si="3"/>
        <v>11</v>
      </c>
      <c r="P11" s="18">
        <f t="shared" si="3"/>
        <v>11</v>
      </c>
      <c r="Q11" s="18">
        <f t="shared" si="3"/>
        <v>11</v>
      </c>
    </row>
    <row r="12" spans="2:138" x14ac:dyDescent="0.3">
      <c r="B12" s="16" t="s">
        <v>66</v>
      </c>
      <c r="G12" s="18">
        <f t="shared" ref="G12:Q12" si="4">+G9-MIN(G9,12*(G10+1))</f>
        <v>0</v>
      </c>
      <c r="H12" s="18">
        <f t="shared" si="4"/>
        <v>1</v>
      </c>
      <c r="I12" s="18">
        <f t="shared" si="4"/>
        <v>1</v>
      </c>
      <c r="J12" s="18">
        <f t="shared" si="4"/>
        <v>1</v>
      </c>
      <c r="K12" s="18">
        <f t="shared" si="4"/>
        <v>1</v>
      </c>
      <c r="L12" s="18">
        <f t="shared" si="4"/>
        <v>1</v>
      </c>
      <c r="M12" s="18">
        <f t="shared" si="4"/>
        <v>1</v>
      </c>
      <c r="N12" s="18">
        <f t="shared" si="4"/>
        <v>1</v>
      </c>
      <c r="O12" s="18">
        <f t="shared" si="4"/>
        <v>1</v>
      </c>
      <c r="P12" s="18">
        <f t="shared" si="4"/>
        <v>1</v>
      </c>
      <c r="Q12" s="18">
        <f t="shared" si="4"/>
        <v>1</v>
      </c>
    </row>
    <row r="14" spans="2:138" x14ac:dyDescent="0.3">
      <c r="C14" t="s">
        <v>47</v>
      </c>
      <c r="D14" t="s">
        <v>48</v>
      </c>
      <c r="E14" t="s">
        <v>49</v>
      </c>
      <c r="G14" t="s">
        <v>43</v>
      </c>
      <c r="H14" t="s">
        <v>44</v>
      </c>
      <c r="I14" t="s">
        <v>50</v>
      </c>
      <c r="J14" t="s">
        <v>51</v>
      </c>
      <c r="K14" t="s">
        <v>52</v>
      </c>
      <c r="L14" t="s">
        <v>53</v>
      </c>
      <c r="M14" t="s">
        <v>54</v>
      </c>
      <c r="N14" t="s">
        <v>55</v>
      </c>
      <c r="O14" t="s">
        <v>56</v>
      </c>
      <c r="P14" t="s">
        <v>57</v>
      </c>
      <c r="Q14" t="s">
        <v>58</v>
      </c>
    </row>
    <row r="15" spans="2:138" x14ac:dyDescent="0.3">
      <c r="B15" t="s">
        <v>42</v>
      </c>
      <c r="C15" s="12">
        <v>-1</v>
      </c>
      <c r="D15" s="2">
        <f>+Sheet1!$D$43</f>
        <v>0.03</v>
      </c>
      <c r="E15" s="13">
        <f>+Sheet1!$G$47</f>
        <v>62315</v>
      </c>
      <c r="G15" s="14">
        <f>E15*((1+D15)^G21*G22+(1+D15)^(G21+1)*G23)/12</f>
        <v>5192.916666666667</v>
      </c>
      <c r="H15" s="14">
        <f>E15*((1+D15)^H21*H22+(1+D15)^(H21+1)*H23)/12</f>
        <v>62470.787499999999</v>
      </c>
      <c r="I15" s="13">
        <f>E15*((1+D15)^I21*I22+(1+D15)^(I21+1)*I23)/12</f>
        <v>64344.911125000006</v>
      </c>
      <c r="J15" s="13">
        <f>E15*((1+D15)^J21*J22+(1+D15)^(J21+1)*J23)/12</f>
        <v>66275.258458750002</v>
      </c>
      <c r="K15" s="13">
        <f>E15*((1+D15)^K21*K22+(1+D15)^(K21+1)*K23)/12</f>
        <v>68263.516212512492</v>
      </c>
      <c r="L15" s="13">
        <f>E15*((1+D15)^L21*L22+(1+D15)^(L21+1)*L23)/12</f>
        <v>70311.421698887876</v>
      </c>
      <c r="M15" s="13">
        <f>E15*((1+D15)^M21*M22+(1+D15)^(M21+1)*M23)/12</f>
        <v>72420.764349854493</v>
      </c>
      <c r="N15" s="13">
        <f>E15*((1+D15)^N21*N22+(1+D15)^(N21+1)*N23)/12</f>
        <v>74593.387280350144</v>
      </c>
      <c r="O15" s="13">
        <f>E15*((1+D15)^O21*O22+(1+D15)^(O21+1)*O23)/12</f>
        <v>76831.188898760636</v>
      </c>
      <c r="P15" s="13">
        <f>E15*((1+D15)^P21*P22+(1+D15)^(P21+1)*P23)/12</f>
        <v>79136.124565723454</v>
      </c>
      <c r="Q15" s="13">
        <f>E15*((1+D15)^Q21*Q22+(1+D15)^(Q21+1)*Q23)/12</f>
        <v>81510.208302695173</v>
      </c>
    </row>
    <row r="16" spans="2:138" x14ac:dyDescent="0.3">
      <c r="B16" t="s">
        <v>59</v>
      </c>
      <c r="G16" s="14">
        <f t="shared" ref="G16" si="5">IF(G17=0,0,G15/G17*12)</f>
        <v>62315</v>
      </c>
      <c r="H16" s="14">
        <f t="shared" ref="H16" si="6">IF(H17=0,0,H15/H17*12)</f>
        <v>62470.787499999999</v>
      </c>
      <c r="I16" s="14">
        <f t="shared" ref="I16" si="7">IF(I17=0,0,I15/I17*12)</f>
        <v>64344.911125000013</v>
      </c>
      <c r="J16" s="14">
        <f t="shared" ref="J16" si="8">IF(J17=0,0,J15/J17*12)</f>
        <v>66275.258458750002</v>
      </c>
      <c r="K16" s="14">
        <f t="shared" ref="K16" si="9">IF(K17=0,0,K15/K17*12)</f>
        <v>68263.516212512492</v>
      </c>
      <c r="L16" s="14">
        <f t="shared" ref="L16" si="10">IF(L17=0,0,L15/L17*12)</f>
        <v>70311.421698887876</v>
      </c>
      <c r="M16" s="14">
        <f t="shared" ref="M16" si="11">IF(M17=0,0,M15/M17*12)</f>
        <v>72420.764349854493</v>
      </c>
      <c r="N16" s="14">
        <f t="shared" ref="N16" si="12">IF(N17=0,0,N15/N17*12)</f>
        <v>74593.387280350144</v>
      </c>
      <c r="O16" s="14">
        <f t="shared" ref="O16" si="13">IF(O17=0,0,O15/O17*12)</f>
        <v>76831.188898760636</v>
      </c>
      <c r="P16" s="14">
        <f t="shared" ref="P16" si="14">IF(P17=0,0,P15/P17*12)</f>
        <v>79136.124565723454</v>
      </c>
      <c r="Q16" s="14">
        <f t="shared" ref="Q16" si="15">IF(Q17=0,0,Q15/Q17*12)</f>
        <v>81510.208302695173</v>
      </c>
    </row>
    <row r="17" spans="2:17" x14ac:dyDescent="0.3">
      <c r="B17" t="s">
        <v>60</v>
      </c>
      <c r="G17" s="15">
        <f t="shared" ref="G17:Q17" si="16">+G20-G19</f>
        <v>1</v>
      </c>
      <c r="H17" s="15">
        <f t="shared" si="16"/>
        <v>12</v>
      </c>
      <c r="I17" s="15">
        <f t="shared" si="16"/>
        <v>12</v>
      </c>
      <c r="J17" s="15">
        <f t="shared" si="16"/>
        <v>12</v>
      </c>
      <c r="K17" s="15">
        <f t="shared" si="16"/>
        <v>12</v>
      </c>
      <c r="L17" s="15">
        <f t="shared" si="16"/>
        <v>12</v>
      </c>
      <c r="M17" s="15">
        <f t="shared" si="16"/>
        <v>12</v>
      </c>
      <c r="N17" s="15">
        <f t="shared" si="16"/>
        <v>12</v>
      </c>
      <c r="O17" s="15">
        <f t="shared" si="16"/>
        <v>12</v>
      </c>
      <c r="P17" s="15">
        <f t="shared" si="16"/>
        <v>12</v>
      </c>
      <c r="Q17" s="15">
        <f t="shared" si="16"/>
        <v>12</v>
      </c>
    </row>
    <row r="18" spans="2:17" x14ac:dyDescent="0.3">
      <c r="B18" s="16" t="s">
        <v>61</v>
      </c>
      <c r="G18" s="17">
        <v>0</v>
      </c>
      <c r="H18" s="17">
        <v>1</v>
      </c>
      <c r="I18" s="17">
        <v>2</v>
      </c>
      <c r="J18" s="17">
        <v>3</v>
      </c>
      <c r="K18" s="17">
        <v>4</v>
      </c>
      <c r="L18" s="17">
        <v>5</v>
      </c>
      <c r="M18" s="17">
        <v>6</v>
      </c>
      <c r="N18" s="17">
        <v>7</v>
      </c>
      <c r="O18" s="17">
        <v>8</v>
      </c>
      <c r="P18" s="17">
        <v>9</v>
      </c>
      <c r="Q18" s="17">
        <v>10</v>
      </c>
    </row>
    <row r="19" spans="2:17" x14ac:dyDescent="0.3">
      <c r="B19" s="16" t="s">
        <v>62</v>
      </c>
      <c r="G19" s="18">
        <f>MAX(0,12*(G18-1)-C15)</f>
        <v>0</v>
      </c>
      <c r="H19" s="18">
        <f>MAX(0,12*(H18-1)-C15)</f>
        <v>1</v>
      </c>
      <c r="I19" s="18">
        <f>MAX(0,12*(I18-1)-C15)</f>
        <v>13</v>
      </c>
      <c r="J19" s="18">
        <f>MAX(0,12*(J18-1)-C15)</f>
        <v>25</v>
      </c>
      <c r="K19" s="18">
        <f>MAX(0,12*(K18-1)-C15)</f>
        <v>37</v>
      </c>
      <c r="L19" s="18">
        <f>MAX(0,12*(L18-1)-C15)</f>
        <v>49</v>
      </c>
      <c r="M19" s="18">
        <f>MAX(0,12*(M18-1)-C15)</f>
        <v>61</v>
      </c>
      <c r="N19" s="18">
        <f>MAX(0,12*(N18-1)-C15)</f>
        <v>73</v>
      </c>
      <c r="O19" s="18">
        <f>MAX(0,12*(O18-1)-C15)</f>
        <v>85</v>
      </c>
      <c r="P19" s="18">
        <f>MAX(0,12*(P18-1)-C15)</f>
        <v>97</v>
      </c>
      <c r="Q19" s="18">
        <f>MAX(0,12*(Q18-1)-C15)</f>
        <v>109</v>
      </c>
    </row>
    <row r="20" spans="2:17" x14ac:dyDescent="0.3">
      <c r="B20" s="16" t="s">
        <v>63</v>
      </c>
      <c r="G20" s="18">
        <f>MAX(0,12*G18-C15)</f>
        <v>1</v>
      </c>
      <c r="H20" s="18">
        <f>MAX(0,12*H18-C15)</f>
        <v>13</v>
      </c>
      <c r="I20" s="18">
        <f>MAX(0,12*I18-C15)</f>
        <v>25</v>
      </c>
      <c r="J20" s="18">
        <f>MAX(0,12*J18-C15)</f>
        <v>37</v>
      </c>
      <c r="K20" s="18">
        <f>MAX(0,12*K18-C15)</f>
        <v>49</v>
      </c>
      <c r="L20" s="18">
        <f>MAX(0,12*L18-C15)</f>
        <v>61</v>
      </c>
      <c r="M20" s="18">
        <f>MAX(0,12*M18-C15)</f>
        <v>73</v>
      </c>
      <c r="N20" s="18">
        <f>MAX(0,12*N18-C15)</f>
        <v>85</v>
      </c>
      <c r="O20" s="18">
        <f>MAX(0,12*O18-C15)</f>
        <v>97</v>
      </c>
      <c r="P20" s="18">
        <f>MAX(0,12*P18-C15)</f>
        <v>109</v>
      </c>
      <c r="Q20" s="18">
        <f>MAX(0,12*Q18-C15)</f>
        <v>121</v>
      </c>
    </row>
    <row r="21" spans="2:17" x14ac:dyDescent="0.3">
      <c r="B21" s="16" t="s">
        <v>64</v>
      </c>
      <c r="G21" s="19">
        <f t="shared" ref="G21:Q21" si="17">INT(G19/12)</f>
        <v>0</v>
      </c>
      <c r="H21" s="19">
        <f t="shared" si="17"/>
        <v>0</v>
      </c>
      <c r="I21" s="19">
        <f t="shared" si="17"/>
        <v>1</v>
      </c>
      <c r="J21" s="19">
        <f t="shared" si="17"/>
        <v>2</v>
      </c>
      <c r="K21" s="19">
        <f t="shared" si="17"/>
        <v>3</v>
      </c>
      <c r="L21" s="19">
        <f t="shared" si="17"/>
        <v>4</v>
      </c>
      <c r="M21" s="19">
        <f t="shared" si="17"/>
        <v>5</v>
      </c>
      <c r="N21" s="19">
        <f t="shared" si="17"/>
        <v>6</v>
      </c>
      <c r="O21" s="19">
        <f t="shared" si="17"/>
        <v>7</v>
      </c>
      <c r="P21" s="19">
        <f t="shared" si="17"/>
        <v>8</v>
      </c>
      <c r="Q21" s="19">
        <f t="shared" si="17"/>
        <v>9</v>
      </c>
    </row>
    <row r="22" spans="2:17" x14ac:dyDescent="0.3">
      <c r="B22" s="16" t="s">
        <v>65</v>
      </c>
      <c r="G22" s="18">
        <f t="shared" ref="G22" si="18">MIN(G20,12*(G21+1))-G19</f>
        <v>1</v>
      </c>
      <c r="H22" s="18">
        <f t="shared" ref="H22" si="19">MIN(H20,12*(H21+1))-H19</f>
        <v>11</v>
      </c>
      <c r="I22" s="18">
        <f t="shared" ref="I22" si="20">MIN(I20,12*(I21+1))-I19</f>
        <v>11</v>
      </c>
      <c r="J22" s="18">
        <f t="shared" ref="J22" si="21">MIN(J20,12*(J21+1))-J19</f>
        <v>11</v>
      </c>
      <c r="K22" s="18">
        <f t="shared" ref="K22" si="22">MIN(K20,12*(K21+1))-K19</f>
        <v>11</v>
      </c>
      <c r="L22" s="18">
        <f t="shared" ref="L22" si="23">MIN(L20,12*(L21+1))-L19</f>
        <v>11</v>
      </c>
      <c r="M22" s="18">
        <f t="shared" ref="M22" si="24">MIN(M20,12*(M21+1))-M19</f>
        <v>11</v>
      </c>
      <c r="N22" s="18">
        <f t="shared" ref="N22" si="25">MIN(N20,12*(N21+1))-N19</f>
        <v>11</v>
      </c>
      <c r="O22" s="18">
        <f t="shared" ref="O22" si="26">MIN(O20,12*(O21+1))-O19</f>
        <v>11</v>
      </c>
      <c r="P22" s="18">
        <f t="shared" ref="P22" si="27">MIN(P20,12*(P21+1))-P19</f>
        <v>11</v>
      </c>
      <c r="Q22" s="18">
        <f t="shared" ref="Q22" si="28">MIN(Q20,12*(Q21+1))-Q19</f>
        <v>11</v>
      </c>
    </row>
    <row r="23" spans="2:17" x14ac:dyDescent="0.3">
      <c r="B23" s="16" t="s">
        <v>66</v>
      </c>
      <c r="G23" s="18">
        <f t="shared" ref="G23:Q23" si="29">+G20-MIN(G20,12*(G21+1))</f>
        <v>0</v>
      </c>
      <c r="H23" s="18">
        <f t="shared" si="29"/>
        <v>1</v>
      </c>
      <c r="I23" s="18">
        <f t="shared" si="29"/>
        <v>1</v>
      </c>
      <c r="J23" s="18">
        <f t="shared" si="29"/>
        <v>1</v>
      </c>
      <c r="K23" s="18">
        <f t="shared" si="29"/>
        <v>1</v>
      </c>
      <c r="L23" s="18">
        <f t="shared" si="29"/>
        <v>1</v>
      </c>
      <c r="M23" s="18">
        <f t="shared" si="29"/>
        <v>1</v>
      </c>
      <c r="N23" s="18">
        <f t="shared" si="29"/>
        <v>1</v>
      </c>
      <c r="O23" s="18">
        <f t="shared" si="29"/>
        <v>1</v>
      </c>
      <c r="P23" s="18">
        <f t="shared" si="29"/>
        <v>1</v>
      </c>
      <c r="Q23" s="18">
        <f t="shared" si="29"/>
        <v>1</v>
      </c>
    </row>
    <row r="24" spans="2:17" x14ac:dyDescent="0.3">
      <c r="C24" s="11"/>
      <c r="D24" s="1"/>
    </row>
    <row r="25" spans="2:17" x14ac:dyDescent="0.3">
      <c r="C25" t="s">
        <v>47</v>
      </c>
      <c r="D25" t="s">
        <v>48</v>
      </c>
      <c r="E25" t="s">
        <v>49</v>
      </c>
      <c r="G25" t="s">
        <v>43</v>
      </c>
      <c r="H25" t="s">
        <v>44</v>
      </c>
      <c r="I25" t="s">
        <v>50</v>
      </c>
      <c r="J25" t="s">
        <v>51</v>
      </c>
      <c r="K25" t="s">
        <v>52</v>
      </c>
      <c r="L25" t="s">
        <v>53</v>
      </c>
      <c r="M25" t="s">
        <v>54</v>
      </c>
      <c r="N25" t="s">
        <v>55</v>
      </c>
      <c r="O25" t="s">
        <v>56</v>
      </c>
      <c r="P25" t="s">
        <v>57</v>
      </c>
      <c r="Q25" t="s">
        <v>58</v>
      </c>
    </row>
    <row r="26" spans="2:17" x14ac:dyDescent="0.3">
      <c r="B26" t="s">
        <v>42</v>
      </c>
      <c r="C26" s="12">
        <v>-1</v>
      </c>
      <c r="D26" s="2">
        <f>+Sheet1!$D$43</f>
        <v>0.03</v>
      </c>
      <c r="E26" s="13">
        <f>+Sheet1!$G$48</f>
        <v>0</v>
      </c>
      <c r="G26" s="14">
        <f>E26*((1+D26)^G32*G33+(1+D26)^(G32+1)*G34)/12</f>
        <v>0</v>
      </c>
      <c r="H26" s="14">
        <f>E26*((1+D26)^H32*H33+(1+D26)^(H32+1)*H34)/12</f>
        <v>0</v>
      </c>
      <c r="I26" s="13">
        <f>E26*((1+D26)^I32*I33+(1+D26)^(I32+1)*I34)/12</f>
        <v>0</v>
      </c>
      <c r="J26" s="13">
        <f>E26*((1+D26)^J32*J33+(1+D26)^(J32+1)*J34)/12</f>
        <v>0</v>
      </c>
      <c r="K26" s="13">
        <f>E26*((1+D26)^K32*K33+(1+D26)^(K32+1)*K34)/12</f>
        <v>0</v>
      </c>
      <c r="L26" s="13">
        <f>E26*((1+D26)^L32*L33+(1+D26)^(L32+1)*L34)/12</f>
        <v>0</v>
      </c>
      <c r="M26" s="13">
        <f>E26*((1+D26)^M32*M33+(1+D26)^(M32+1)*M34)/12</f>
        <v>0</v>
      </c>
      <c r="N26" s="13">
        <f>E26*((1+D26)^N32*N33+(1+D26)^(N32+1)*N34)/12</f>
        <v>0</v>
      </c>
      <c r="O26" s="13">
        <f>E26*((1+D26)^O32*O33+(1+D26)^(O32+1)*O34)/12</f>
        <v>0</v>
      </c>
      <c r="P26" s="13">
        <f>E26*((1+D26)^P32*P33+(1+D26)^(P32+1)*P34)/12</f>
        <v>0</v>
      </c>
      <c r="Q26" s="13">
        <f>E26*((1+D26)^Q32*Q33+(1+D26)^(Q32+1)*Q34)/12</f>
        <v>0</v>
      </c>
    </row>
    <row r="27" spans="2:17" x14ac:dyDescent="0.3">
      <c r="B27" t="s">
        <v>59</v>
      </c>
      <c r="G27" s="14">
        <f t="shared" ref="G27" si="30">IF(G28=0,0,G26/G28*12)</f>
        <v>0</v>
      </c>
      <c r="H27" s="14">
        <f t="shared" ref="H27" si="31">IF(H28=0,0,H26/H28*12)</f>
        <v>0</v>
      </c>
      <c r="I27" s="14">
        <f t="shared" ref="I27" si="32">IF(I28=0,0,I26/I28*12)</f>
        <v>0</v>
      </c>
      <c r="J27" s="14">
        <f t="shared" ref="J27" si="33">IF(J28=0,0,J26/J28*12)</f>
        <v>0</v>
      </c>
      <c r="K27" s="14">
        <f t="shared" ref="K27" si="34">IF(K28=0,0,K26/K28*12)</f>
        <v>0</v>
      </c>
      <c r="L27" s="14">
        <f t="shared" ref="L27" si="35">IF(L28=0,0,L26/L28*12)</f>
        <v>0</v>
      </c>
      <c r="M27" s="14">
        <f t="shared" ref="M27" si="36">IF(M28=0,0,M26/M28*12)</f>
        <v>0</v>
      </c>
      <c r="N27" s="14">
        <f t="shared" ref="N27" si="37">IF(N28=0,0,N26/N28*12)</f>
        <v>0</v>
      </c>
      <c r="O27" s="14">
        <f t="shared" ref="O27" si="38">IF(O28=0,0,O26/O28*12)</f>
        <v>0</v>
      </c>
      <c r="P27" s="14">
        <f t="shared" ref="P27" si="39">IF(P28=0,0,P26/P28*12)</f>
        <v>0</v>
      </c>
      <c r="Q27" s="14">
        <f t="shared" ref="Q27" si="40">IF(Q28=0,0,Q26/Q28*12)</f>
        <v>0</v>
      </c>
    </row>
    <row r="28" spans="2:17" x14ac:dyDescent="0.3">
      <c r="B28" t="s">
        <v>60</v>
      </c>
      <c r="G28" s="15">
        <f t="shared" ref="G28:Q28" si="41">+G31-G30</f>
        <v>1</v>
      </c>
      <c r="H28" s="15">
        <f t="shared" si="41"/>
        <v>12</v>
      </c>
      <c r="I28" s="15">
        <f t="shared" si="41"/>
        <v>12</v>
      </c>
      <c r="J28" s="15">
        <f t="shared" si="41"/>
        <v>12</v>
      </c>
      <c r="K28" s="15">
        <f t="shared" si="41"/>
        <v>12</v>
      </c>
      <c r="L28" s="15">
        <f t="shared" si="41"/>
        <v>12</v>
      </c>
      <c r="M28" s="15">
        <f t="shared" si="41"/>
        <v>12</v>
      </c>
      <c r="N28" s="15">
        <f t="shared" si="41"/>
        <v>12</v>
      </c>
      <c r="O28" s="15">
        <f t="shared" si="41"/>
        <v>12</v>
      </c>
      <c r="P28" s="15">
        <f t="shared" si="41"/>
        <v>12</v>
      </c>
      <c r="Q28" s="15">
        <f t="shared" si="41"/>
        <v>12</v>
      </c>
    </row>
    <row r="29" spans="2:17" x14ac:dyDescent="0.3">
      <c r="B29" s="16" t="s">
        <v>61</v>
      </c>
      <c r="G29" s="17">
        <v>0</v>
      </c>
      <c r="H29" s="17">
        <v>1</v>
      </c>
      <c r="I29" s="17">
        <v>2</v>
      </c>
      <c r="J29" s="17">
        <v>3</v>
      </c>
      <c r="K29" s="17">
        <v>4</v>
      </c>
      <c r="L29" s="17">
        <v>5</v>
      </c>
      <c r="M29" s="17">
        <v>6</v>
      </c>
      <c r="N29" s="17">
        <v>7</v>
      </c>
      <c r="O29" s="17">
        <v>8</v>
      </c>
      <c r="P29" s="17">
        <v>9</v>
      </c>
      <c r="Q29" s="17">
        <v>10</v>
      </c>
    </row>
    <row r="30" spans="2:17" x14ac:dyDescent="0.3">
      <c r="B30" s="16" t="s">
        <v>62</v>
      </c>
      <c r="G30" s="18">
        <f>MAX(0,12*(G29-1)-C26)</f>
        <v>0</v>
      </c>
      <c r="H30" s="18">
        <f>MAX(0,12*(H29-1)-C26)</f>
        <v>1</v>
      </c>
      <c r="I30" s="18">
        <f>MAX(0,12*(I29-1)-C26)</f>
        <v>13</v>
      </c>
      <c r="J30" s="18">
        <f>MAX(0,12*(J29-1)-C26)</f>
        <v>25</v>
      </c>
      <c r="K30" s="18">
        <f>MAX(0,12*(K29-1)-C26)</f>
        <v>37</v>
      </c>
      <c r="L30" s="18">
        <f>MAX(0,12*(L29-1)-C26)</f>
        <v>49</v>
      </c>
      <c r="M30" s="18">
        <f>MAX(0,12*(M29-1)-C26)</f>
        <v>61</v>
      </c>
      <c r="N30" s="18">
        <f>MAX(0,12*(N29-1)-C26)</f>
        <v>73</v>
      </c>
      <c r="O30" s="18">
        <f>MAX(0,12*(O29-1)-C26)</f>
        <v>85</v>
      </c>
      <c r="P30" s="18">
        <f>MAX(0,12*(P29-1)-C26)</f>
        <v>97</v>
      </c>
      <c r="Q30" s="18">
        <f>MAX(0,12*(Q29-1)-C26)</f>
        <v>109</v>
      </c>
    </row>
    <row r="31" spans="2:17" x14ac:dyDescent="0.3">
      <c r="B31" s="16" t="s">
        <v>63</v>
      </c>
      <c r="G31" s="18">
        <f>MAX(0,12*G29-C26)</f>
        <v>1</v>
      </c>
      <c r="H31" s="18">
        <f>MAX(0,12*H29-C26)</f>
        <v>13</v>
      </c>
      <c r="I31" s="18">
        <f>MAX(0,12*I29-C26)</f>
        <v>25</v>
      </c>
      <c r="J31" s="18">
        <f>MAX(0,12*J29-C26)</f>
        <v>37</v>
      </c>
      <c r="K31" s="18">
        <f>MAX(0,12*K29-C26)</f>
        <v>49</v>
      </c>
      <c r="L31" s="18">
        <f>MAX(0,12*L29-C26)</f>
        <v>61</v>
      </c>
      <c r="M31" s="18">
        <f>MAX(0,12*M29-C26)</f>
        <v>73</v>
      </c>
      <c r="N31" s="18">
        <f>MAX(0,12*N29-C26)</f>
        <v>85</v>
      </c>
      <c r="O31" s="18">
        <f>MAX(0,12*O29-C26)</f>
        <v>97</v>
      </c>
      <c r="P31" s="18">
        <f>MAX(0,12*P29-C26)</f>
        <v>109</v>
      </c>
      <c r="Q31" s="18">
        <f>MAX(0,12*Q29-C26)</f>
        <v>121</v>
      </c>
    </row>
    <row r="32" spans="2:17" x14ac:dyDescent="0.3">
      <c r="B32" s="16" t="s">
        <v>64</v>
      </c>
      <c r="G32" s="19">
        <f t="shared" ref="G32:Q32" si="42">INT(G30/12)</f>
        <v>0</v>
      </c>
      <c r="H32" s="19">
        <f t="shared" si="42"/>
        <v>0</v>
      </c>
      <c r="I32" s="19">
        <f t="shared" si="42"/>
        <v>1</v>
      </c>
      <c r="J32" s="19">
        <f t="shared" si="42"/>
        <v>2</v>
      </c>
      <c r="K32" s="19">
        <f t="shared" si="42"/>
        <v>3</v>
      </c>
      <c r="L32" s="19">
        <f t="shared" si="42"/>
        <v>4</v>
      </c>
      <c r="M32" s="19">
        <f t="shared" si="42"/>
        <v>5</v>
      </c>
      <c r="N32" s="19">
        <f t="shared" si="42"/>
        <v>6</v>
      </c>
      <c r="O32" s="19">
        <f t="shared" si="42"/>
        <v>7</v>
      </c>
      <c r="P32" s="19">
        <f t="shared" si="42"/>
        <v>8</v>
      </c>
      <c r="Q32" s="19">
        <f t="shared" si="42"/>
        <v>9</v>
      </c>
    </row>
    <row r="33" spans="2:17" x14ac:dyDescent="0.3">
      <c r="B33" s="16" t="s">
        <v>65</v>
      </c>
      <c r="G33" s="18">
        <f t="shared" ref="G33" si="43">MIN(G31,12*(G32+1))-G30</f>
        <v>1</v>
      </c>
      <c r="H33" s="18">
        <f t="shared" ref="H33" si="44">MIN(H31,12*(H32+1))-H30</f>
        <v>11</v>
      </c>
      <c r="I33" s="18">
        <f t="shared" ref="I33" si="45">MIN(I31,12*(I32+1))-I30</f>
        <v>11</v>
      </c>
      <c r="J33" s="18">
        <f t="shared" ref="J33" si="46">MIN(J31,12*(J32+1))-J30</f>
        <v>11</v>
      </c>
      <c r="K33" s="18">
        <f t="shared" ref="K33" si="47">MIN(K31,12*(K32+1))-K30</f>
        <v>11</v>
      </c>
      <c r="L33" s="18">
        <f t="shared" ref="L33" si="48">MIN(L31,12*(L32+1))-L30</f>
        <v>11</v>
      </c>
      <c r="M33" s="18">
        <f t="shared" ref="M33" si="49">MIN(M31,12*(M32+1))-M30</f>
        <v>11</v>
      </c>
      <c r="N33" s="18">
        <f t="shared" ref="N33" si="50">MIN(N31,12*(N32+1))-N30</f>
        <v>11</v>
      </c>
      <c r="O33" s="18">
        <f t="shared" ref="O33" si="51">MIN(O31,12*(O32+1))-O30</f>
        <v>11</v>
      </c>
      <c r="P33" s="18">
        <f t="shared" ref="P33" si="52">MIN(P31,12*(P32+1))-P30</f>
        <v>11</v>
      </c>
      <c r="Q33" s="18">
        <f t="shared" ref="Q33" si="53">MIN(Q31,12*(Q32+1))-Q30</f>
        <v>11</v>
      </c>
    </row>
    <row r="34" spans="2:17" x14ac:dyDescent="0.3">
      <c r="B34" s="16" t="s">
        <v>66</v>
      </c>
      <c r="G34" s="18">
        <f t="shared" ref="G34:Q34" si="54">+G31-MIN(G31,12*(G32+1))</f>
        <v>0</v>
      </c>
      <c r="H34" s="18">
        <f t="shared" si="54"/>
        <v>1</v>
      </c>
      <c r="I34" s="18">
        <f t="shared" si="54"/>
        <v>1</v>
      </c>
      <c r="J34" s="18">
        <f t="shared" si="54"/>
        <v>1</v>
      </c>
      <c r="K34" s="18">
        <f t="shared" si="54"/>
        <v>1</v>
      </c>
      <c r="L34" s="18">
        <f t="shared" si="54"/>
        <v>1</v>
      </c>
      <c r="M34" s="18">
        <f t="shared" si="54"/>
        <v>1</v>
      </c>
      <c r="N34" s="18">
        <f t="shared" si="54"/>
        <v>1</v>
      </c>
      <c r="O34" s="18">
        <f t="shared" si="54"/>
        <v>1</v>
      </c>
      <c r="P34" s="18">
        <f t="shared" si="54"/>
        <v>1</v>
      </c>
      <c r="Q34" s="18">
        <f t="shared" si="54"/>
        <v>1</v>
      </c>
    </row>
    <row r="35" spans="2:17" x14ac:dyDescent="0.3">
      <c r="C35" s="1"/>
      <c r="D35" s="1"/>
    </row>
    <row r="36" spans="2:17" x14ac:dyDescent="0.3">
      <c r="C36" t="s">
        <v>47</v>
      </c>
      <c r="D36" t="s">
        <v>48</v>
      </c>
      <c r="E36" t="s">
        <v>49</v>
      </c>
      <c r="G36" t="s">
        <v>43</v>
      </c>
      <c r="H36" t="s">
        <v>44</v>
      </c>
      <c r="I36" t="s">
        <v>50</v>
      </c>
      <c r="J36" t="s">
        <v>51</v>
      </c>
      <c r="K36" t="s">
        <v>52</v>
      </c>
      <c r="L36" t="s">
        <v>53</v>
      </c>
      <c r="M36" t="s">
        <v>54</v>
      </c>
      <c r="N36" t="s">
        <v>55</v>
      </c>
      <c r="O36" t="s">
        <v>56</v>
      </c>
      <c r="P36" t="s">
        <v>57</v>
      </c>
      <c r="Q36" t="s">
        <v>58</v>
      </c>
    </row>
    <row r="37" spans="2:17" x14ac:dyDescent="0.3">
      <c r="B37" t="s">
        <v>42</v>
      </c>
      <c r="C37" s="12">
        <v>-1</v>
      </c>
      <c r="D37" s="2">
        <f>+Sheet1!$D$43</f>
        <v>0.03</v>
      </c>
      <c r="E37" s="13">
        <f>+Sheet1!$G$49</f>
        <v>0</v>
      </c>
      <c r="G37" s="14">
        <f>E37*((1+D37)^G43*G44+(1+D37)^(G43+1)*G45)/12</f>
        <v>0</v>
      </c>
      <c r="H37" s="14">
        <f>E37*((1+D37)^H43*H44+(1+D37)^(H43+1)*H45)/12</f>
        <v>0</v>
      </c>
      <c r="I37" s="13">
        <f>E37*((1+D37)^I43*I44+(1+D37)^(I43+1)*I45)/12</f>
        <v>0</v>
      </c>
      <c r="J37" s="13">
        <f>E37*((1+D37)^J43*J44+(1+D37)^(J43+1)*J45)/12</f>
        <v>0</v>
      </c>
      <c r="K37" s="13">
        <f>E37*((1+D37)^K43*K44+(1+D37)^(K43+1)*K45)/12</f>
        <v>0</v>
      </c>
      <c r="L37" s="13">
        <f>E37*((1+D37)^L43*L44+(1+D37)^(L43+1)*L45)/12</f>
        <v>0</v>
      </c>
      <c r="M37" s="13">
        <f>E37*((1+D37)^M43*M44+(1+D37)^(M43+1)*M45)/12</f>
        <v>0</v>
      </c>
      <c r="N37" s="13">
        <f>E37*((1+D37)^N43*N44+(1+D37)^(N43+1)*N45)/12</f>
        <v>0</v>
      </c>
      <c r="O37" s="13">
        <f>E37*((1+D37)^O43*O44+(1+D37)^(O43+1)*O45)/12</f>
        <v>0</v>
      </c>
      <c r="P37" s="13">
        <f>E37*((1+D37)^P43*P44+(1+D37)^(P43+1)*P45)/12</f>
        <v>0</v>
      </c>
      <c r="Q37" s="13">
        <f>E37*((1+D37)^Q43*Q44+(1+D37)^(Q43+1)*Q45)/12</f>
        <v>0</v>
      </c>
    </row>
    <row r="38" spans="2:17" x14ac:dyDescent="0.3">
      <c r="B38" t="s">
        <v>59</v>
      </c>
      <c r="G38" s="14">
        <f t="shared" ref="G38" si="55">IF(G39=0,0,G37/G39*12)</f>
        <v>0</v>
      </c>
      <c r="H38" s="14">
        <f t="shared" ref="H38" si="56">IF(H39=0,0,H37/H39*12)</f>
        <v>0</v>
      </c>
      <c r="I38" s="14">
        <f t="shared" ref="I38" si="57">IF(I39=0,0,I37/I39*12)</f>
        <v>0</v>
      </c>
      <c r="J38" s="14">
        <f t="shared" ref="J38" si="58">IF(J39=0,0,J37/J39*12)</f>
        <v>0</v>
      </c>
      <c r="K38" s="14">
        <f t="shared" ref="K38" si="59">IF(K39=0,0,K37/K39*12)</f>
        <v>0</v>
      </c>
      <c r="L38" s="14">
        <f t="shared" ref="L38" si="60">IF(L39=0,0,L37/L39*12)</f>
        <v>0</v>
      </c>
      <c r="M38" s="14">
        <f t="shared" ref="M38" si="61">IF(M39=0,0,M37/M39*12)</f>
        <v>0</v>
      </c>
      <c r="N38" s="14">
        <f t="shared" ref="N38" si="62">IF(N39=0,0,N37/N39*12)</f>
        <v>0</v>
      </c>
      <c r="O38" s="14">
        <f t="shared" ref="O38" si="63">IF(O39=0,0,O37/O39*12)</f>
        <v>0</v>
      </c>
      <c r="P38" s="14">
        <f t="shared" ref="P38" si="64">IF(P39=0,0,P37/P39*12)</f>
        <v>0</v>
      </c>
      <c r="Q38" s="14">
        <f t="shared" ref="Q38" si="65">IF(Q39=0,0,Q37/Q39*12)</f>
        <v>0</v>
      </c>
    </row>
    <row r="39" spans="2:17" x14ac:dyDescent="0.3">
      <c r="B39" t="s">
        <v>60</v>
      </c>
      <c r="G39" s="15">
        <f t="shared" ref="G39:Q39" si="66">+G42-G41</f>
        <v>1</v>
      </c>
      <c r="H39" s="15">
        <f t="shared" si="66"/>
        <v>12</v>
      </c>
      <c r="I39" s="15">
        <f t="shared" si="66"/>
        <v>12</v>
      </c>
      <c r="J39" s="15">
        <f t="shared" si="66"/>
        <v>12</v>
      </c>
      <c r="K39" s="15">
        <f t="shared" si="66"/>
        <v>12</v>
      </c>
      <c r="L39" s="15">
        <f t="shared" si="66"/>
        <v>12</v>
      </c>
      <c r="M39" s="15">
        <f t="shared" si="66"/>
        <v>12</v>
      </c>
      <c r="N39" s="15">
        <f t="shared" si="66"/>
        <v>12</v>
      </c>
      <c r="O39" s="15">
        <f t="shared" si="66"/>
        <v>12</v>
      </c>
      <c r="P39" s="15">
        <f t="shared" si="66"/>
        <v>12</v>
      </c>
      <c r="Q39" s="15">
        <f t="shared" si="66"/>
        <v>12</v>
      </c>
    </row>
    <row r="40" spans="2:17" x14ac:dyDescent="0.3">
      <c r="B40" s="16" t="s">
        <v>61</v>
      </c>
      <c r="G40" s="17">
        <v>0</v>
      </c>
      <c r="H40" s="17">
        <v>1</v>
      </c>
      <c r="I40" s="17">
        <v>2</v>
      </c>
      <c r="J40" s="17">
        <v>3</v>
      </c>
      <c r="K40" s="17">
        <v>4</v>
      </c>
      <c r="L40" s="17">
        <v>5</v>
      </c>
      <c r="M40" s="17">
        <v>6</v>
      </c>
      <c r="N40" s="17">
        <v>7</v>
      </c>
      <c r="O40" s="17">
        <v>8</v>
      </c>
      <c r="P40" s="17">
        <v>9</v>
      </c>
      <c r="Q40" s="17">
        <v>10</v>
      </c>
    </row>
    <row r="41" spans="2:17" x14ac:dyDescent="0.3">
      <c r="B41" s="16" t="s">
        <v>62</v>
      </c>
      <c r="G41" s="18">
        <f>MAX(0,12*(G40-1)-C37)</f>
        <v>0</v>
      </c>
      <c r="H41" s="18">
        <f>MAX(0,12*(H40-1)-C37)</f>
        <v>1</v>
      </c>
      <c r="I41" s="18">
        <f>MAX(0,12*(I40-1)-C37)</f>
        <v>13</v>
      </c>
      <c r="J41" s="18">
        <f>MAX(0,12*(J40-1)-C37)</f>
        <v>25</v>
      </c>
      <c r="K41" s="18">
        <f>MAX(0,12*(K40-1)-C37)</f>
        <v>37</v>
      </c>
      <c r="L41" s="18">
        <f>MAX(0,12*(L40-1)-C37)</f>
        <v>49</v>
      </c>
      <c r="M41" s="18">
        <f>MAX(0,12*(M40-1)-C37)</f>
        <v>61</v>
      </c>
      <c r="N41" s="18">
        <f>MAX(0,12*(N40-1)-C37)</f>
        <v>73</v>
      </c>
      <c r="O41" s="18">
        <f>MAX(0,12*(O40-1)-C37)</f>
        <v>85</v>
      </c>
      <c r="P41" s="18">
        <f>MAX(0,12*(P40-1)-C37)</f>
        <v>97</v>
      </c>
      <c r="Q41" s="18">
        <f>MAX(0,12*(Q40-1)-C37)</f>
        <v>109</v>
      </c>
    </row>
    <row r="42" spans="2:17" x14ac:dyDescent="0.3">
      <c r="B42" s="16" t="s">
        <v>63</v>
      </c>
      <c r="G42" s="18">
        <f>MAX(0,12*G40-C37)</f>
        <v>1</v>
      </c>
      <c r="H42" s="18">
        <f>MAX(0,12*H40-C37)</f>
        <v>13</v>
      </c>
      <c r="I42" s="18">
        <f>MAX(0,12*I40-C37)</f>
        <v>25</v>
      </c>
      <c r="J42" s="18">
        <f>MAX(0,12*J40-C37)</f>
        <v>37</v>
      </c>
      <c r="K42" s="18">
        <f>MAX(0,12*K40-C37)</f>
        <v>49</v>
      </c>
      <c r="L42" s="18">
        <f>MAX(0,12*L40-C37)</f>
        <v>61</v>
      </c>
      <c r="M42" s="18">
        <f>MAX(0,12*M40-C37)</f>
        <v>73</v>
      </c>
      <c r="N42" s="18">
        <f>MAX(0,12*N40-C37)</f>
        <v>85</v>
      </c>
      <c r="O42" s="18">
        <f>MAX(0,12*O40-C37)</f>
        <v>97</v>
      </c>
      <c r="P42" s="18">
        <f>MAX(0,12*P40-C37)</f>
        <v>109</v>
      </c>
      <c r="Q42" s="18">
        <f>MAX(0,12*Q40-C37)</f>
        <v>121</v>
      </c>
    </row>
    <row r="43" spans="2:17" x14ac:dyDescent="0.3">
      <c r="B43" s="16" t="s">
        <v>64</v>
      </c>
      <c r="G43" s="19">
        <f t="shared" ref="G43:Q43" si="67">INT(G41/12)</f>
        <v>0</v>
      </c>
      <c r="H43" s="19">
        <f t="shared" si="67"/>
        <v>0</v>
      </c>
      <c r="I43" s="19">
        <f t="shared" si="67"/>
        <v>1</v>
      </c>
      <c r="J43" s="19">
        <f t="shared" si="67"/>
        <v>2</v>
      </c>
      <c r="K43" s="19">
        <f t="shared" si="67"/>
        <v>3</v>
      </c>
      <c r="L43" s="19">
        <f t="shared" si="67"/>
        <v>4</v>
      </c>
      <c r="M43" s="19">
        <f t="shared" si="67"/>
        <v>5</v>
      </c>
      <c r="N43" s="19">
        <f t="shared" si="67"/>
        <v>6</v>
      </c>
      <c r="O43" s="19">
        <f t="shared" si="67"/>
        <v>7</v>
      </c>
      <c r="P43" s="19">
        <f t="shared" si="67"/>
        <v>8</v>
      </c>
      <c r="Q43" s="19">
        <f t="shared" si="67"/>
        <v>9</v>
      </c>
    </row>
    <row r="44" spans="2:17" x14ac:dyDescent="0.3">
      <c r="B44" s="16" t="s">
        <v>65</v>
      </c>
      <c r="G44" s="18">
        <f t="shared" ref="G44" si="68">MIN(G42,12*(G43+1))-G41</f>
        <v>1</v>
      </c>
      <c r="H44" s="18">
        <f t="shared" ref="H44" si="69">MIN(H42,12*(H43+1))-H41</f>
        <v>11</v>
      </c>
      <c r="I44" s="18">
        <f t="shared" ref="I44" si="70">MIN(I42,12*(I43+1))-I41</f>
        <v>11</v>
      </c>
      <c r="J44" s="18">
        <f t="shared" ref="J44" si="71">MIN(J42,12*(J43+1))-J41</f>
        <v>11</v>
      </c>
      <c r="K44" s="18">
        <f t="shared" ref="K44" si="72">MIN(K42,12*(K43+1))-K41</f>
        <v>11</v>
      </c>
      <c r="L44" s="18">
        <f t="shared" ref="L44" si="73">MIN(L42,12*(L43+1))-L41</f>
        <v>11</v>
      </c>
      <c r="M44" s="18">
        <f t="shared" ref="M44" si="74">MIN(M42,12*(M43+1))-M41</f>
        <v>11</v>
      </c>
      <c r="N44" s="18">
        <f t="shared" ref="N44" si="75">MIN(N42,12*(N43+1))-N41</f>
        <v>11</v>
      </c>
      <c r="O44" s="18">
        <f t="shared" ref="O44" si="76">MIN(O42,12*(O43+1))-O41</f>
        <v>11</v>
      </c>
      <c r="P44" s="18">
        <f t="shared" ref="P44" si="77">MIN(P42,12*(P43+1))-P41</f>
        <v>11</v>
      </c>
      <c r="Q44" s="18">
        <f t="shared" ref="Q44" si="78">MIN(Q42,12*(Q43+1))-Q41</f>
        <v>11</v>
      </c>
    </row>
    <row r="45" spans="2:17" x14ac:dyDescent="0.3">
      <c r="B45" s="16" t="s">
        <v>66</v>
      </c>
      <c r="G45" s="18">
        <f t="shared" ref="G45:Q45" si="79">+G42-MIN(G42,12*(G43+1))</f>
        <v>0</v>
      </c>
      <c r="H45" s="18">
        <f t="shared" si="79"/>
        <v>1</v>
      </c>
      <c r="I45" s="18">
        <f t="shared" si="79"/>
        <v>1</v>
      </c>
      <c r="J45" s="18">
        <f t="shared" si="79"/>
        <v>1</v>
      </c>
      <c r="K45" s="18">
        <f t="shared" si="79"/>
        <v>1</v>
      </c>
      <c r="L45" s="18">
        <f t="shared" si="79"/>
        <v>1</v>
      </c>
      <c r="M45" s="18">
        <f t="shared" si="79"/>
        <v>1</v>
      </c>
      <c r="N45" s="18">
        <f t="shared" si="79"/>
        <v>1</v>
      </c>
      <c r="O45" s="18">
        <f t="shared" si="79"/>
        <v>1</v>
      </c>
      <c r="P45" s="18">
        <f t="shared" si="79"/>
        <v>1</v>
      </c>
      <c r="Q45" s="18">
        <f t="shared" si="79"/>
        <v>1</v>
      </c>
    </row>
    <row r="46" spans="2:17" x14ac:dyDescent="0.3">
      <c r="C46" s="1"/>
      <c r="D46" s="1"/>
    </row>
    <row r="47" spans="2:17" x14ac:dyDescent="0.3">
      <c r="C47" t="s">
        <v>47</v>
      </c>
      <c r="D47" t="s">
        <v>48</v>
      </c>
      <c r="E47" t="s">
        <v>49</v>
      </c>
      <c r="G47" t="s">
        <v>43</v>
      </c>
      <c r="H47" t="s">
        <v>44</v>
      </c>
      <c r="I47" t="s">
        <v>50</v>
      </c>
      <c r="J47" t="s">
        <v>51</v>
      </c>
      <c r="K47" t="s">
        <v>52</v>
      </c>
      <c r="L47" t="s">
        <v>53</v>
      </c>
      <c r="M47" t="s">
        <v>54</v>
      </c>
      <c r="N47" t="s">
        <v>55</v>
      </c>
      <c r="O47" t="s">
        <v>56</v>
      </c>
      <c r="P47" t="s">
        <v>57</v>
      </c>
      <c r="Q47" t="s">
        <v>58</v>
      </c>
    </row>
    <row r="48" spans="2:17" x14ac:dyDescent="0.3">
      <c r="B48" t="s">
        <v>42</v>
      </c>
      <c r="C48" s="12">
        <v>-1</v>
      </c>
      <c r="D48" s="2">
        <f>+Sheet1!$D$43</f>
        <v>0.03</v>
      </c>
      <c r="E48" s="13">
        <f>+Sheet1!$G$50</f>
        <v>0</v>
      </c>
      <c r="G48" s="14">
        <f>E48*((1+D48)^G54*G55+(1+D48)^(G54+1)*G56)/12</f>
        <v>0</v>
      </c>
      <c r="H48" s="14">
        <f>E48*((1+D48)^H54*H55+(1+D48)^(H54+1)*H56)/12</f>
        <v>0</v>
      </c>
      <c r="I48" s="13">
        <f>E48*((1+D48)^I54*I55+(1+D48)^(I54+1)*I56)/12</f>
        <v>0</v>
      </c>
      <c r="J48" s="13">
        <f>E48*((1+D48)^J54*J55+(1+D48)^(J54+1)*J56)/12</f>
        <v>0</v>
      </c>
      <c r="K48" s="13">
        <f>E48*((1+D48)^K54*K55+(1+D48)^(K54+1)*K56)/12</f>
        <v>0</v>
      </c>
      <c r="L48" s="13">
        <f>E48*((1+D48)^L54*L55+(1+D48)^(L54+1)*L56)/12</f>
        <v>0</v>
      </c>
      <c r="M48" s="13">
        <f>E48*((1+D48)^M54*M55+(1+D48)^(M54+1)*M56)/12</f>
        <v>0</v>
      </c>
      <c r="N48" s="13">
        <f>E48*((1+D48)^N54*N55+(1+D48)^(N54+1)*N56)/12</f>
        <v>0</v>
      </c>
      <c r="O48" s="13">
        <f>E48*((1+D48)^O54*O55+(1+D48)^(O54+1)*O56)/12</f>
        <v>0</v>
      </c>
      <c r="P48" s="13">
        <f>E48*((1+D48)^P54*P55+(1+D48)^(P54+1)*P56)/12</f>
        <v>0</v>
      </c>
      <c r="Q48" s="13">
        <f>E48*((1+D48)^Q54*Q55+(1+D48)^(Q54+1)*Q56)/12</f>
        <v>0</v>
      </c>
    </row>
    <row r="49" spans="2:17" x14ac:dyDescent="0.3">
      <c r="B49" t="s">
        <v>59</v>
      </c>
      <c r="G49" s="14">
        <f t="shared" ref="G49" si="80">IF(G50=0,0,G48/G50*12)</f>
        <v>0</v>
      </c>
      <c r="H49" s="14">
        <f t="shared" ref="H49" si="81">IF(H50=0,0,H48/H50*12)</f>
        <v>0</v>
      </c>
      <c r="I49" s="14">
        <f t="shared" ref="I49" si="82">IF(I50=0,0,I48/I50*12)</f>
        <v>0</v>
      </c>
      <c r="J49" s="14">
        <f t="shared" ref="J49" si="83">IF(J50=0,0,J48/J50*12)</f>
        <v>0</v>
      </c>
      <c r="K49" s="14">
        <f t="shared" ref="K49" si="84">IF(K50=0,0,K48/K50*12)</f>
        <v>0</v>
      </c>
      <c r="L49" s="14">
        <f t="shared" ref="L49" si="85">IF(L50=0,0,L48/L50*12)</f>
        <v>0</v>
      </c>
      <c r="M49" s="14">
        <f t="shared" ref="M49" si="86">IF(M50=0,0,M48/M50*12)</f>
        <v>0</v>
      </c>
      <c r="N49" s="14">
        <f t="shared" ref="N49" si="87">IF(N50=0,0,N48/N50*12)</f>
        <v>0</v>
      </c>
      <c r="O49" s="14">
        <f t="shared" ref="O49" si="88">IF(O50=0,0,O48/O50*12)</f>
        <v>0</v>
      </c>
      <c r="P49" s="14">
        <f t="shared" ref="P49" si="89">IF(P50=0,0,P48/P50*12)</f>
        <v>0</v>
      </c>
      <c r="Q49" s="14">
        <f t="shared" ref="Q49" si="90">IF(Q50=0,0,Q48/Q50*12)</f>
        <v>0</v>
      </c>
    </row>
    <row r="50" spans="2:17" x14ac:dyDescent="0.3">
      <c r="B50" t="s">
        <v>60</v>
      </c>
      <c r="G50" s="15">
        <f t="shared" ref="G50:Q50" si="91">+G53-G52</f>
        <v>1</v>
      </c>
      <c r="H50" s="15">
        <f t="shared" si="91"/>
        <v>12</v>
      </c>
      <c r="I50" s="15">
        <f t="shared" si="91"/>
        <v>12</v>
      </c>
      <c r="J50" s="15">
        <f t="shared" si="91"/>
        <v>12</v>
      </c>
      <c r="K50" s="15">
        <f t="shared" si="91"/>
        <v>12</v>
      </c>
      <c r="L50" s="15">
        <f t="shared" si="91"/>
        <v>12</v>
      </c>
      <c r="M50" s="15">
        <f t="shared" si="91"/>
        <v>12</v>
      </c>
      <c r="N50" s="15">
        <f t="shared" si="91"/>
        <v>12</v>
      </c>
      <c r="O50" s="15">
        <f t="shared" si="91"/>
        <v>12</v>
      </c>
      <c r="P50" s="15">
        <f t="shared" si="91"/>
        <v>12</v>
      </c>
      <c r="Q50" s="15">
        <f t="shared" si="91"/>
        <v>12</v>
      </c>
    </row>
    <row r="51" spans="2:17" x14ac:dyDescent="0.3">
      <c r="B51" s="16" t="s">
        <v>61</v>
      </c>
      <c r="G51" s="17">
        <v>0</v>
      </c>
      <c r="H51" s="17">
        <v>1</v>
      </c>
      <c r="I51" s="17">
        <v>2</v>
      </c>
      <c r="J51" s="17">
        <v>3</v>
      </c>
      <c r="K51" s="17">
        <v>4</v>
      </c>
      <c r="L51" s="17">
        <v>5</v>
      </c>
      <c r="M51" s="17">
        <v>6</v>
      </c>
      <c r="N51" s="17">
        <v>7</v>
      </c>
      <c r="O51" s="17">
        <v>8</v>
      </c>
      <c r="P51" s="17">
        <v>9</v>
      </c>
      <c r="Q51" s="17">
        <v>10</v>
      </c>
    </row>
    <row r="52" spans="2:17" x14ac:dyDescent="0.3">
      <c r="B52" s="16" t="s">
        <v>62</v>
      </c>
      <c r="G52" s="18">
        <f>MAX(0,12*(G51-1)-C48)</f>
        <v>0</v>
      </c>
      <c r="H52" s="18">
        <f>MAX(0,12*(H51-1)-C48)</f>
        <v>1</v>
      </c>
      <c r="I52" s="18">
        <f>MAX(0,12*(I51-1)-C48)</f>
        <v>13</v>
      </c>
      <c r="J52" s="18">
        <f>MAX(0,12*(J51-1)-C48)</f>
        <v>25</v>
      </c>
      <c r="K52" s="18">
        <f>MAX(0,12*(K51-1)-C48)</f>
        <v>37</v>
      </c>
      <c r="L52" s="18">
        <f>MAX(0,12*(L51-1)-C48)</f>
        <v>49</v>
      </c>
      <c r="M52" s="18">
        <f>MAX(0,12*(M51-1)-C48)</f>
        <v>61</v>
      </c>
      <c r="N52" s="18">
        <f>MAX(0,12*(N51-1)-C48)</f>
        <v>73</v>
      </c>
      <c r="O52" s="18">
        <f>MAX(0,12*(O51-1)-C48)</f>
        <v>85</v>
      </c>
      <c r="P52" s="18">
        <f>MAX(0,12*(P51-1)-C48)</f>
        <v>97</v>
      </c>
      <c r="Q52" s="18">
        <f>MAX(0,12*(Q51-1)-C48)</f>
        <v>109</v>
      </c>
    </row>
    <row r="53" spans="2:17" x14ac:dyDescent="0.3">
      <c r="B53" s="16" t="s">
        <v>63</v>
      </c>
      <c r="G53" s="18">
        <f>MAX(0,12*G51-C48)</f>
        <v>1</v>
      </c>
      <c r="H53" s="18">
        <f>MAX(0,12*H51-C48)</f>
        <v>13</v>
      </c>
      <c r="I53" s="18">
        <f>MAX(0,12*I51-C48)</f>
        <v>25</v>
      </c>
      <c r="J53" s="18">
        <f>MAX(0,12*J51-C48)</f>
        <v>37</v>
      </c>
      <c r="K53" s="18">
        <f>MAX(0,12*K51-C48)</f>
        <v>49</v>
      </c>
      <c r="L53" s="18">
        <f>MAX(0,12*L51-C48)</f>
        <v>61</v>
      </c>
      <c r="M53" s="18">
        <f>MAX(0,12*M51-C48)</f>
        <v>73</v>
      </c>
      <c r="N53" s="18">
        <f>MAX(0,12*N51-C48)</f>
        <v>85</v>
      </c>
      <c r="O53" s="18">
        <f>MAX(0,12*O51-C48)</f>
        <v>97</v>
      </c>
      <c r="P53" s="18">
        <f>MAX(0,12*P51-C48)</f>
        <v>109</v>
      </c>
      <c r="Q53" s="18">
        <f>MAX(0,12*Q51-C48)</f>
        <v>121</v>
      </c>
    </row>
    <row r="54" spans="2:17" x14ac:dyDescent="0.3">
      <c r="B54" s="16" t="s">
        <v>64</v>
      </c>
      <c r="G54" s="19">
        <f t="shared" ref="G54:Q54" si="92">INT(G52/12)</f>
        <v>0</v>
      </c>
      <c r="H54" s="19">
        <f t="shared" si="92"/>
        <v>0</v>
      </c>
      <c r="I54" s="19">
        <f t="shared" si="92"/>
        <v>1</v>
      </c>
      <c r="J54" s="19">
        <f t="shared" si="92"/>
        <v>2</v>
      </c>
      <c r="K54" s="19">
        <f t="shared" si="92"/>
        <v>3</v>
      </c>
      <c r="L54" s="19">
        <f t="shared" si="92"/>
        <v>4</v>
      </c>
      <c r="M54" s="19">
        <f t="shared" si="92"/>
        <v>5</v>
      </c>
      <c r="N54" s="19">
        <f t="shared" si="92"/>
        <v>6</v>
      </c>
      <c r="O54" s="19">
        <f t="shared" si="92"/>
        <v>7</v>
      </c>
      <c r="P54" s="19">
        <f t="shared" si="92"/>
        <v>8</v>
      </c>
      <c r="Q54" s="19">
        <f t="shared" si="92"/>
        <v>9</v>
      </c>
    </row>
    <row r="55" spans="2:17" x14ac:dyDescent="0.3">
      <c r="B55" s="16" t="s">
        <v>65</v>
      </c>
      <c r="G55" s="18">
        <f t="shared" ref="G55" si="93">MIN(G53,12*(G54+1))-G52</f>
        <v>1</v>
      </c>
      <c r="H55" s="18">
        <f t="shared" ref="H55" si="94">MIN(H53,12*(H54+1))-H52</f>
        <v>11</v>
      </c>
      <c r="I55" s="18">
        <f t="shared" ref="I55" si="95">MIN(I53,12*(I54+1))-I52</f>
        <v>11</v>
      </c>
      <c r="J55" s="18">
        <f t="shared" ref="J55" si="96">MIN(J53,12*(J54+1))-J52</f>
        <v>11</v>
      </c>
      <c r="K55" s="18">
        <f t="shared" ref="K55" si="97">MIN(K53,12*(K54+1))-K52</f>
        <v>11</v>
      </c>
      <c r="L55" s="18">
        <f t="shared" ref="L55" si="98">MIN(L53,12*(L54+1))-L52</f>
        <v>11</v>
      </c>
      <c r="M55" s="18">
        <f t="shared" ref="M55" si="99">MIN(M53,12*(M54+1))-M52</f>
        <v>11</v>
      </c>
      <c r="N55" s="18">
        <f t="shared" ref="N55" si="100">MIN(N53,12*(N54+1))-N52</f>
        <v>11</v>
      </c>
      <c r="O55" s="18">
        <f t="shared" ref="O55" si="101">MIN(O53,12*(O54+1))-O52</f>
        <v>11</v>
      </c>
      <c r="P55" s="18">
        <f t="shared" ref="P55" si="102">MIN(P53,12*(P54+1))-P52</f>
        <v>11</v>
      </c>
      <c r="Q55" s="18">
        <f t="shared" ref="Q55" si="103">MIN(Q53,12*(Q54+1))-Q52</f>
        <v>11</v>
      </c>
    </row>
    <row r="56" spans="2:17" x14ac:dyDescent="0.3">
      <c r="B56" s="16" t="s">
        <v>66</v>
      </c>
      <c r="G56" s="18">
        <f t="shared" ref="G56:Q56" si="104">+G53-MIN(G53,12*(G54+1))</f>
        <v>0</v>
      </c>
      <c r="H56" s="18">
        <f t="shared" si="104"/>
        <v>1</v>
      </c>
      <c r="I56" s="18">
        <f t="shared" si="104"/>
        <v>1</v>
      </c>
      <c r="J56" s="18">
        <f t="shared" si="104"/>
        <v>1</v>
      </c>
      <c r="K56" s="18">
        <f t="shared" si="104"/>
        <v>1</v>
      </c>
      <c r="L56" s="18">
        <f t="shared" si="104"/>
        <v>1</v>
      </c>
      <c r="M56" s="18">
        <f t="shared" si="104"/>
        <v>1</v>
      </c>
      <c r="N56" s="18">
        <f t="shared" si="104"/>
        <v>1</v>
      </c>
      <c r="O56" s="18">
        <f t="shared" si="104"/>
        <v>1</v>
      </c>
      <c r="P56" s="18">
        <f t="shared" si="104"/>
        <v>1</v>
      </c>
      <c r="Q56" s="18">
        <f t="shared" si="104"/>
        <v>1</v>
      </c>
    </row>
    <row r="57" spans="2:17" x14ac:dyDescent="0.3">
      <c r="C57" s="1"/>
      <c r="D57" s="1"/>
    </row>
    <row r="58" spans="2:17" x14ac:dyDescent="0.3">
      <c r="C58" t="s">
        <v>47</v>
      </c>
      <c r="D58" t="s">
        <v>48</v>
      </c>
      <c r="E58" t="s">
        <v>49</v>
      </c>
      <c r="G58" t="s">
        <v>43</v>
      </c>
      <c r="H58" t="s">
        <v>44</v>
      </c>
      <c r="I58" t="s">
        <v>50</v>
      </c>
      <c r="J58" t="s">
        <v>51</v>
      </c>
      <c r="K58" t="s">
        <v>52</v>
      </c>
      <c r="L58" t="s">
        <v>53</v>
      </c>
      <c r="M58" t="s">
        <v>54</v>
      </c>
      <c r="N58" t="s">
        <v>55</v>
      </c>
      <c r="O58" t="s">
        <v>56</v>
      </c>
      <c r="P58" t="s">
        <v>57</v>
      </c>
      <c r="Q58" t="s">
        <v>58</v>
      </c>
    </row>
    <row r="59" spans="2:17" x14ac:dyDescent="0.3">
      <c r="B59" t="s">
        <v>42</v>
      </c>
      <c r="C59" s="12">
        <v>-1</v>
      </c>
      <c r="D59" s="2">
        <f>+Sheet1!$D$43</f>
        <v>0.03</v>
      </c>
      <c r="E59" s="13">
        <f>+Sheet1!$G$51</f>
        <v>51744.11</v>
      </c>
      <c r="G59" s="14">
        <f>E59*((1+D59)^G65*G66+(1+D59)^(G65+1)*G67)/12</f>
        <v>4312.0091666666667</v>
      </c>
      <c r="H59" s="14">
        <f>E59*((1+D59)^H65*H66+(1+D59)^(H65+1)*H67)/12</f>
        <v>51873.470275</v>
      </c>
      <c r="I59" s="13">
        <f>E59*((1+D59)^I65*I66+(1+D59)^(I65+1)*I67)/12</f>
        <v>53429.67438325</v>
      </c>
      <c r="J59" s="13">
        <f>E59*((1+D59)^J65*J66+(1+D59)^(J65+1)*J67)/12</f>
        <v>55032.564614747505</v>
      </c>
      <c r="K59" s="13">
        <f>E59*((1+D59)^K65*K66+(1+D59)^(K65+1)*K67)/12</f>
        <v>56683.54155318992</v>
      </c>
      <c r="L59" s="13">
        <f>E59*((1+D59)^L65*L66+(1+D59)^(L65+1)*L67)/12</f>
        <v>58384.047799785621</v>
      </c>
      <c r="M59" s="13">
        <f>E59*((1+D59)^M65*M66+(1+D59)^(M65+1)*M67)/12</f>
        <v>60135.569233779184</v>
      </c>
      <c r="N59" s="13">
        <f>E59*((1+D59)^N65*N66+(1+D59)^(N65+1)*N67)/12</f>
        <v>61939.636310792564</v>
      </c>
      <c r="O59" s="13">
        <f>E59*((1+D59)^O65*O66+(1+D59)^(O65+1)*O67)/12</f>
        <v>63797.825400116337</v>
      </c>
      <c r="P59" s="13">
        <f>E59*((1+D59)^P65*P66+(1+D59)^(P65+1)*P67)/12</f>
        <v>65711.760162119826</v>
      </c>
      <c r="Q59" s="13">
        <f>E59*((1+D59)^Q65*Q66+(1+D59)^(Q65+1)*Q67)/12</f>
        <v>67683.112966983419</v>
      </c>
    </row>
    <row r="60" spans="2:17" x14ac:dyDescent="0.3">
      <c r="B60" t="s">
        <v>59</v>
      </c>
      <c r="G60" s="14">
        <f t="shared" ref="G60" si="105">IF(G61=0,0,G59/G61*12)</f>
        <v>51744.11</v>
      </c>
      <c r="H60" s="14">
        <f t="shared" ref="H60" si="106">IF(H61=0,0,H59/H61*12)</f>
        <v>51873.470275</v>
      </c>
      <c r="I60" s="14">
        <f t="shared" ref="I60" si="107">IF(I61=0,0,I59/I61*12)</f>
        <v>53429.674383250007</v>
      </c>
      <c r="J60" s="14">
        <f t="shared" ref="J60" si="108">IF(J61=0,0,J59/J61*12)</f>
        <v>55032.564614747505</v>
      </c>
      <c r="K60" s="14">
        <f t="shared" ref="K60" si="109">IF(K61=0,0,K59/K61*12)</f>
        <v>56683.54155318992</v>
      </c>
      <c r="L60" s="14">
        <f t="shared" ref="L60" si="110">IF(L61=0,0,L59/L61*12)</f>
        <v>58384.047799785621</v>
      </c>
      <c r="M60" s="14">
        <f t="shared" ref="M60" si="111">IF(M61=0,0,M59/M61*12)</f>
        <v>60135.569233779184</v>
      </c>
      <c r="N60" s="14">
        <f t="shared" ref="N60" si="112">IF(N61=0,0,N59/N61*12)</f>
        <v>61939.636310792557</v>
      </c>
      <c r="O60" s="14">
        <f t="shared" ref="O60" si="113">IF(O61=0,0,O59/O61*12)</f>
        <v>63797.82540011633</v>
      </c>
      <c r="P60" s="14">
        <f t="shared" ref="P60" si="114">IF(P61=0,0,P59/P61*12)</f>
        <v>65711.760162119826</v>
      </c>
      <c r="Q60" s="14">
        <f t="shared" ref="Q60" si="115">IF(Q61=0,0,Q59/Q61*12)</f>
        <v>67683.112966983419</v>
      </c>
    </row>
    <row r="61" spans="2:17" x14ac:dyDescent="0.3">
      <c r="B61" t="s">
        <v>60</v>
      </c>
      <c r="G61" s="15">
        <f t="shared" ref="G61:Q61" si="116">+G64-G63</f>
        <v>1</v>
      </c>
      <c r="H61" s="15">
        <f t="shared" si="116"/>
        <v>12</v>
      </c>
      <c r="I61" s="15">
        <f t="shared" si="116"/>
        <v>12</v>
      </c>
      <c r="J61" s="15">
        <f t="shared" si="116"/>
        <v>12</v>
      </c>
      <c r="K61" s="15">
        <f t="shared" si="116"/>
        <v>12</v>
      </c>
      <c r="L61" s="15">
        <f t="shared" si="116"/>
        <v>12</v>
      </c>
      <c r="M61" s="15">
        <f t="shared" si="116"/>
        <v>12</v>
      </c>
      <c r="N61" s="15">
        <f t="shared" si="116"/>
        <v>12</v>
      </c>
      <c r="O61" s="15">
        <f t="shared" si="116"/>
        <v>12</v>
      </c>
      <c r="P61" s="15">
        <f t="shared" si="116"/>
        <v>12</v>
      </c>
      <c r="Q61" s="15">
        <f t="shared" si="116"/>
        <v>12</v>
      </c>
    </row>
    <row r="62" spans="2:17" x14ac:dyDescent="0.3">
      <c r="B62" s="16" t="s">
        <v>61</v>
      </c>
      <c r="G62" s="17">
        <v>0</v>
      </c>
      <c r="H62" s="17">
        <v>1</v>
      </c>
      <c r="I62" s="17">
        <v>2</v>
      </c>
      <c r="J62" s="17">
        <v>3</v>
      </c>
      <c r="K62" s="17">
        <v>4</v>
      </c>
      <c r="L62" s="17">
        <v>5</v>
      </c>
      <c r="M62" s="17">
        <v>6</v>
      </c>
      <c r="N62" s="17">
        <v>7</v>
      </c>
      <c r="O62" s="17">
        <v>8</v>
      </c>
      <c r="P62" s="17">
        <v>9</v>
      </c>
      <c r="Q62" s="17">
        <v>10</v>
      </c>
    </row>
    <row r="63" spans="2:17" x14ac:dyDescent="0.3">
      <c r="B63" s="16" t="s">
        <v>62</v>
      </c>
      <c r="G63" s="18">
        <f>MAX(0,12*(G62-1)-C59)</f>
        <v>0</v>
      </c>
      <c r="H63" s="18">
        <f>MAX(0,12*(H62-1)-C59)</f>
        <v>1</v>
      </c>
      <c r="I63" s="18">
        <f>MAX(0,12*(I62-1)-C59)</f>
        <v>13</v>
      </c>
      <c r="J63" s="18">
        <f>MAX(0,12*(J62-1)-C59)</f>
        <v>25</v>
      </c>
      <c r="K63" s="18">
        <f>MAX(0,12*(K62-1)-C59)</f>
        <v>37</v>
      </c>
      <c r="L63" s="18">
        <f>MAX(0,12*(L62-1)-C59)</f>
        <v>49</v>
      </c>
      <c r="M63" s="18">
        <f>MAX(0,12*(M62-1)-C59)</f>
        <v>61</v>
      </c>
      <c r="N63" s="18">
        <f>MAX(0,12*(N62-1)-C59)</f>
        <v>73</v>
      </c>
      <c r="O63" s="18">
        <f>MAX(0,12*(O62-1)-C59)</f>
        <v>85</v>
      </c>
      <c r="P63" s="18">
        <f>MAX(0,12*(P62-1)-C59)</f>
        <v>97</v>
      </c>
      <c r="Q63" s="18">
        <f>MAX(0,12*(Q62-1)-C59)</f>
        <v>109</v>
      </c>
    </row>
    <row r="64" spans="2:17" x14ac:dyDescent="0.3">
      <c r="B64" s="16" t="s">
        <v>63</v>
      </c>
      <c r="G64" s="18">
        <f>MAX(0,12*G62-C59)</f>
        <v>1</v>
      </c>
      <c r="H64" s="18">
        <f>MAX(0,12*H62-C59)</f>
        <v>13</v>
      </c>
      <c r="I64" s="18">
        <f>MAX(0,12*I62-C59)</f>
        <v>25</v>
      </c>
      <c r="J64" s="18">
        <f>MAX(0,12*J62-C59)</f>
        <v>37</v>
      </c>
      <c r="K64" s="18">
        <f>MAX(0,12*K62-C59)</f>
        <v>49</v>
      </c>
      <c r="L64" s="18">
        <f>MAX(0,12*L62-C59)</f>
        <v>61</v>
      </c>
      <c r="M64" s="18">
        <f>MAX(0,12*M62-C59)</f>
        <v>73</v>
      </c>
      <c r="N64" s="18">
        <f>MAX(0,12*N62-C59)</f>
        <v>85</v>
      </c>
      <c r="O64" s="18">
        <f>MAX(0,12*O62-C59)</f>
        <v>97</v>
      </c>
      <c r="P64" s="18">
        <f>MAX(0,12*P62-C59)</f>
        <v>109</v>
      </c>
      <c r="Q64" s="18">
        <f>MAX(0,12*Q62-C59)</f>
        <v>121</v>
      </c>
    </row>
    <row r="65" spans="2:17" x14ac:dyDescent="0.3">
      <c r="B65" s="16" t="s">
        <v>64</v>
      </c>
      <c r="G65" s="19">
        <f t="shared" ref="G65:Q65" si="117">INT(G63/12)</f>
        <v>0</v>
      </c>
      <c r="H65" s="19">
        <f t="shared" si="117"/>
        <v>0</v>
      </c>
      <c r="I65" s="19">
        <f t="shared" si="117"/>
        <v>1</v>
      </c>
      <c r="J65" s="19">
        <f t="shared" si="117"/>
        <v>2</v>
      </c>
      <c r="K65" s="19">
        <f t="shared" si="117"/>
        <v>3</v>
      </c>
      <c r="L65" s="19">
        <f t="shared" si="117"/>
        <v>4</v>
      </c>
      <c r="M65" s="19">
        <f t="shared" si="117"/>
        <v>5</v>
      </c>
      <c r="N65" s="19">
        <f t="shared" si="117"/>
        <v>6</v>
      </c>
      <c r="O65" s="19">
        <f t="shared" si="117"/>
        <v>7</v>
      </c>
      <c r="P65" s="19">
        <f t="shared" si="117"/>
        <v>8</v>
      </c>
      <c r="Q65" s="19">
        <f t="shared" si="117"/>
        <v>9</v>
      </c>
    </row>
    <row r="66" spans="2:17" x14ac:dyDescent="0.3">
      <c r="B66" s="16" t="s">
        <v>65</v>
      </c>
      <c r="G66" s="18">
        <f t="shared" ref="G66" si="118">MIN(G64,12*(G65+1))-G63</f>
        <v>1</v>
      </c>
      <c r="H66" s="18">
        <f t="shared" ref="H66" si="119">MIN(H64,12*(H65+1))-H63</f>
        <v>11</v>
      </c>
      <c r="I66" s="18">
        <f t="shared" ref="I66" si="120">MIN(I64,12*(I65+1))-I63</f>
        <v>11</v>
      </c>
      <c r="J66" s="18">
        <f t="shared" ref="J66" si="121">MIN(J64,12*(J65+1))-J63</f>
        <v>11</v>
      </c>
      <c r="K66" s="18">
        <f t="shared" ref="K66" si="122">MIN(K64,12*(K65+1))-K63</f>
        <v>11</v>
      </c>
      <c r="L66" s="18">
        <f t="shared" ref="L66" si="123">MIN(L64,12*(L65+1))-L63</f>
        <v>11</v>
      </c>
      <c r="M66" s="18">
        <f t="shared" ref="M66" si="124">MIN(M64,12*(M65+1))-M63</f>
        <v>11</v>
      </c>
      <c r="N66" s="18">
        <f t="shared" ref="N66" si="125">MIN(N64,12*(N65+1))-N63</f>
        <v>11</v>
      </c>
      <c r="O66" s="18">
        <f t="shared" ref="O66" si="126">MIN(O64,12*(O65+1))-O63</f>
        <v>11</v>
      </c>
      <c r="P66" s="18">
        <f t="shared" ref="P66" si="127">MIN(P64,12*(P65+1))-P63</f>
        <v>11</v>
      </c>
      <c r="Q66" s="18">
        <f t="shared" ref="Q66" si="128">MIN(Q64,12*(Q65+1))-Q63</f>
        <v>11</v>
      </c>
    </row>
    <row r="67" spans="2:17" x14ac:dyDescent="0.3">
      <c r="B67" s="16" t="s">
        <v>66</v>
      </c>
      <c r="G67" s="18">
        <f t="shared" ref="G67:Q67" si="129">+G64-MIN(G64,12*(G65+1))</f>
        <v>0</v>
      </c>
      <c r="H67" s="18">
        <f t="shared" si="129"/>
        <v>1</v>
      </c>
      <c r="I67" s="18">
        <f t="shared" si="129"/>
        <v>1</v>
      </c>
      <c r="J67" s="18">
        <f t="shared" si="129"/>
        <v>1</v>
      </c>
      <c r="K67" s="18">
        <f t="shared" si="129"/>
        <v>1</v>
      </c>
      <c r="L67" s="18">
        <f t="shared" si="129"/>
        <v>1</v>
      </c>
      <c r="M67" s="18">
        <f t="shared" si="129"/>
        <v>1</v>
      </c>
      <c r="N67" s="18">
        <f t="shared" si="129"/>
        <v>1</v>
      </c>
      <c r="O67" s="18">
        <f t="shared" si="129"/>
        <v>1</v>
      </c>
      <c r="P67" s="18">
        <f t="shared" si="129"/>
        <v>1</v>
      </c>
      <c r="Q67" s="18">
        <f t="shared" si="129"/>
        <v>1</v>
      </c>
    </row>
    <row r="68" spans="2:17" x14ac:dyDescent="0.3">
      <c r="C68" s="1"/>
      <c r="D68" s="1"/>
    </row>
    <row r="69" spans="2:17" x14ac:dyDescent="0.3">
      <c r="C69" t="s">
        <v>47</v>
      </c>
      <c r="D69" t="s">
        <v>48</v>
      </c>
      <c r="E69" t="s">
        <v>49</v>
      </c>
      <c r="G69" t="s">
        <v>43</v>
      </c>
      <c r="H69" t="s">
        <v>44</v>
      </c>
      <c r="I69" t="s">
        <v>50</v>
      </c>
      <c r="J69" t="s">
        <v>51</v>
      </c>
      <c r="K69" t="s">
        <v>52</v>
      </c>
      <c r="L69" t="s">
        <v>53</v>
      </c>
      <c r="M69" t="s">
        <v>54</v>
      </c>
      <c r="N69" t="s">
        <v>55</v>
      </c>
      <c r="O69" t="s">
        <v>56</v>
      </c>
      <c r="P69" t="s">
        <v>57</v>
      </c>
      <c r="Q69" t="s">
        <v>58</v>
      </c>
    </row>
    <row r="70" spans="2:17" x14ac:dyDescent="0.3">
      <c r="B70" t="s">
        <v>42</v>
      </c>
      <c r="C70" s="12">
        <v>-1</v>
      </c>
      <c r="D70" s="2">
        <f>+Sheet1!$D$43</f>
        <v>0.03</v>
      </c>
      <c r="E70" s="13">
        <f>+Sheet1!$G$52</f>
        <v>0</v>
      </c>
      <c r="G70" s="14">
        <f>E70*((1+D70)^G76*G77+(1+D70)^(G76+1)*G78)/12</f>
        <v>0</v>
      </c>
      <c r="H70" s="14">
        <f>E70*((1+D70)^H76*H77+(1+D70)^(H76+1)*H78)/12</f>
        <v>0</v>
      </c>
      <c r="I70" s="13">
        <f>E70*((1+D70)^I76*I77+(1+D70)^(I76+1)*I78)/12</f>
        <v>0</v>
      </c>
      <c r="J70" s="13">
        <f>E70*((1+D70)^J76*J77+(1+D70)^(J76+1)*J78)/12</f>
        <v>0</v>
      </c>
      <c r="K70" s="13">
        <f>E70*((1+D70)^K76*K77+(1+D70)^(K76+1)*K78)/12</f>
        <v>0</v>
      </c>
      <c r="L70" s="13">
        <f>E70*((1+D70)^L76*L77+(1+D70)^(L76+1)*L78)/12</f>
        <v>0</v>
      </c>
      <c r="M70" s="13">
        <f>E70*((1+D70)^M76*M77+(1+D70)^(M76+1)*M78)/12</f>
        <v>0</v>
      </c>
      <c r="N70" s="13">
        <f>E70*((1+D70)^N76*N77+(1+D70)^(N76+1)*N78)/12</f>
        <v>0</v>
      </c>
      <c r="O70" s="13">
        <f>E70*((1+D70)^O76*O77+(1+D70)^(O76+1)*O78)/12</f>
        <v>0</v>
      </c>
      <c r="P70" s="13">
        <f>E70*((1+D70)^P76*P77+(1+D70)^(P76+1)*P78)/12</f>
        <v>0</v>
      </c>
      <c r="Q70" s="13">
        <f>E70*((1+D70)^Q76*Q77+(1+D70)^(Q76+1)*Q78)/12</f>
        <v>0</v>
      </c>
    </row>
    <row r="71" spans="2:17" x14ac:dyDescent="0.3">
      <c r="B71" t="s">
        <v>59</v>
      </c>
      <c r="G71" s="14">
        <f t="shared" ref="G71" si="130">IF(G72=0,0,G70/G72*12)</f>
        <v>0</v>
      </c>
      <c r="H71" s="14">
        <f t="shared" ref="H71" si="131">IF(H72=0,0,H70/H72*12)</f>
        <v>0</v>
      </c>
      <c r="I71" s="14">
        <f t="shared" ref="I71" si="132">IF(I72=0,0,I70/I72*12)</f>
        <v>0</v>
      </c>
      <c r="J71" s="14">
        <f t="shared" ref="J71" si="133">IF(J72=0,0,J70/J72*12)</f>
        <v>0</v>
      </c>
      <c r="K71" s="14">
        <f t="shared" ref="K71" si="134">IF(K72=0,0,K70/K72*12)</f>
        <v>0</v>
      </c>
      <c r="L71" s="14">
        <f t="shared" ref="L71" si="135">IF(L72=0,0,L70/L72*12)</f>
        <v>0</v>
      </c>
      <c r="M71" s="14">
        <f t="shared" ref="M71" si="136">IF(M72=0,0,M70/M72*12)</f>
        <v>0</v>
      </c>
      <c r="N71" s="14">
        <f t="shared" ref="N71" si="137">IF(N72=0,0,N70/N72*12)</f>
        <v>0</v>
      </c>
      <c r="O71" s="14">
        <f t="shared" ref="O71" si="138">IF(O72=0,0,O70/O72*12)</f>
        <v>0</v>
      </c>
      <c r="P71" s="14">
        <f t="shared" ref="P71" si="139">IF(P72=0,0,P70/P72*12)</f>
        <v>0</v>
      </c>
      <c r="Q71" s="14">
        <f t="shared" ref="Q71" si="140">IF(Q72=0,0,Q70/Q72*12)</f>
        <v>0</v>
      </c>
    </row>
    <row r="72" spans="2:17" x14ac:dyDescent="0.3">
      <c r="B72" t="s">
        <v>60</v>
      </c>
      <c r="G72" s="15">
        <f t="shared" ref="G72:Q72" si="141">+G75-G74</f>
        <v>1</v>
      </c>
      <c r="H72" s="15">
        <f t="shared" si="141"/>
        <v>12</v>
      </c>
      <c r="I72" s="15">
        <f t="shared" si="141"/>
        <v>12</v>
      </c>
      <c r="J72" s="15">
        <f t="shared" si="141"/>
        <v>12</v>
      </c>
      <c r="K72" s="15">
        <f t="shared" si="141"/>
        <v>12</v>
      </c>
      <c r="L72" s="15">
        <f t="shared" si="141"/>
        <v>12</v>
      </c>
      <c r="M72" s="15">
        <f t="shared" si="141"/>
        <v>12</v>
      </c>
      <c r="N72" s="15">
        <f t="shared" si="141"/>
        <v>12</v>
      </c>
      <c r="O72" s="15">
        <f t="shared" si="141"/>
        <v>12</v>
      </c>
      <c r="P72" s="15">
        <f t="shared" si="141"/>
        <v>12</v>
      </c>
      <c r="Q72" s="15">
        <f t="shared" si="141"/>
        <v>12</v>
      </c>
    </row>
    <row r="73" spans="2:17" x14ac:dyDescent="0.3">
      <c r="B73" s="16" t="s">
        <v>61</v>
      </c>
      <c r="G73" s="17">
        <v>0</v>
      </c>
      <c r="H73" s="17">
        <v>1</v>
      </c>
      <c r="I73" s="17">
        <v>2</v>
      </c>
      <c r="J73" s="17">
        <v>3</v>
      </c>
      <c r="K73" s="17">
        <v>4</v>
      </c>
      <c r="L73" s="17">
        <v>5</v>
      </c>
      <c r="M73" s="17">
        <v>6</v>
      </c>
      <c r="N73" s="17">
        <v>7</v>
      </c>
      <c r="O73" s="17">
        <v>8</v>
      </c>
      <c r="P73" s="17">
        <v>9</v>
      </c>
      <c r="Q73" s="17">
        <v>10</v>
      </c>
    </row>
    <row r="74" spans="2:17" x14ac:dyDescent="0.3">
      <c r="B74" s="16" t="s">
        <v>62</v>
      </c>
      <c r="G74" s="18">
        <f>MAX(0,12*(G73-1)-C70)</f>
        <v>0</v>
      </c>
      <c r="H74" s="18">
        <f>MAX(0,12*(H73-1)-C70)</f>
        <v>1</v>
      </c>
      <c r="I74" s="18">
        <f>MAX(0,12*(I73-1)-C70)</f>
        <v>13</v>
      </c>
      <c r="J74" s="18">
        <f>MAX(0,12*(J73-1)-C70)</f>
        <v>25</v>
      </c>
      <c r="K74" s="18">
        <f>MAX(0,12*(K73-1)-C70)</f>
        <v>37</v>
      </c>
      <c r="L74" s="18">
        <f>MAX(0,12*(L73-1)-C70)</f>
        <v>49</v>
      </c>
      <c r="M74" s="18">
        <f>MAX(0,12*(M73-1)-C70)</f>
        <v>61</v>
      </c>
      <c r="N74" s="18">
        <f>MAX(0,12*(N73-1)-C70)</f>
        <v>73</v>
      </c>
      <c r="O74" s="18">
        <f>MAX(0,12*(O73-1)-C70)</f>
        <v>85</v>
      </c>
      <c r="P74" s="18">
        <f>MAX(0,12*(P73-1)-C70)</f>
        <v>97</v>
      </c>
      <c r="Q74" s="18">
        <f>MAX(0,12*(Q73-1)-C70)</f>
        <v>109</v>
      </c>
    </row>
    <row r="75" spans="2:17" x14ac:dyDescent="0.3">
      <c r="B75" s="16" t="s">
        <v>63</v>
      </c>
      <c r="G75" s="18">
        <f>MAX(0,12*G73-C70)</f>
        <v>1</v>
      </c>
      <c r="H75" s="18">
        <f>MAX(0,12*H73-C70)</f>
        <v>13</v>
      </c>
      <c r="I75" s="18">
        <f>MAX(0,12*I73-C70)</f>
        <v>25</v>
      </c>
      <c r="J75" s="18">
        <f>MAX(0,12*J73-C70)</f>
        <v>37</v>
      </c>
      <c r="K75" s="18">
        <f>MAX(0,12*K73-C70)</f>
        <v>49</v>
      </c>
      <c r="L75" s="18">
        <f>MAX(0,12*L73-C70)</f>
        <v>61</v>
      </c>
      <c r="M75" s="18">
        <f>MAX(0,12*M73-C70)</f>
        <v>73</v>
      </c>
      <c r="N75" s="18">
        <f>MAX(0,12*N73-C70)</f>
        <v>85</v>
      </c>
      <c r="O75" s="18">
        <f>MAX(0,12*O73-C70)</f>
        <v>97</v>
      </c>
      <c r="P75" s="18">
        <f>MAX(0,12*P73-C70)</f>
        <v>109</v>
      </c>
      <c r="Q75" s="18">
        <f>MAX(0,12*Q73-C70)</f>
        <v>121</v>
      </c>
    </row>
    <row r="76" spans="2:17" x14ac:dyDescent="0.3">
      <c r="B76" s="16" t="s">
        <v>64</v>
      </c>
      <c r="G76" s="19">
        <f t="shared" ref="G76:Q76" si="142">INT(G74/12)</f>
        <v>0</v>
      </c>
      <c r="H76" s="19">
        <f t="shared" si="142"/>
        <v>0</v>
      </c>
      <c r="I76" s="19">
        <f t="shared" si="142"/>
        <v>1</v>
      </c>
      <c r="J76" s="19">
        <f t="shared" si="142"/>
        <v>2</v>
      </c>
      <c r="K76" s="19">
        <f t="shared" si="142"/>
        <v>3</v>
      </c>
      <c r="L76" s="19">
        <f t="shared" si="142"/>
        <v>4</v>
      </c>
      <c r="M76" s="19">
        <f t="shared" si="142"/>
        <v>5</v>
      </c>
      <c r="N76" s="19">
        <f t="shared" si="142"/>
        <v>6</v>
      </c>
      <c r="O76" s="19">
        <f t="shared" si="142"/>
        <v>7</v>
      </c>
      <c r="P76" s="19">
        <f t="shared" si="142"/>
        <v>8</v>
      </c>
      <c r="Q76" s="19">
        <f t="shared" si="142"/>
        <v>9</v>
      </c>
    </row>
    <row r="77" spans="2:17" x14ac:dyDescent="0.3">
      <c r="B77" s="16" t="s">
        <v>65</v>
      </c>
      <c r="G77" s="18">
        <f t="shared" ref="G77" si="143">MIN(G75,12*(G76+1))-G74</f>
        <v>1</v>
      </c>
      <c r="H77" s="18">
        <f t="shared" ref="H77" si="144">MIN(H75,12*(H76+1))-H74</f>
        <v>11</v>
      </c>
      <c r="I77" s="18">
        <f t="shared" ref="I77" si="145">MIN(I75,12*(I76+1))-I74</f>
        <v>11</v>
      </c>
      <c r="J77" s="18">
        <f t="shared" ref="J77" si="146">MIN(J75,12*(J76+1))-J74</f>
        <v>11</v>
      </c>
      <c r="K77" s="18">
        <f t="shared" ref="K77" si="147">MIN(K75,12*(K76+1))-K74</f>
        <v>11</v>
      </c>
      <c r="L77" s="18">
        <f t="shared" ref="L77" si="148">MIN(L75,12*(L76+1))-L74</f>
        <v>11</v>
      </c>
      <c r="M77" s="18">
        <f t="shared" ref="M77" si="149">MIN(M75,12*(M76+1))-M74</f>
        <v>11</v>
      </c>
      <c r="N77" s="18">
        <f t="shared" ref="N77" si="150">MIN(N75,12*(N76+1))-N74</f>
        <v>11</v>
      </c>
      <c r="O77" s="18">
        <f t="shared" ref="O77" si="151">MIN(O75,12*(O76+1))-O74</f>
        <v>11</v>
      </c>
      <c r="P77" s="18">
        <f t="shared" ref="P77" si="152">MIN(P75,12*(P76+1))-P74</f>
        <v>11</v>
      </c>
      <c r="Q77" s="18">
        <f t="shared" ref="Q77" si="153">MIN(Q75,12*(Q76+1))-Q74</f>
        <v>11</v>
      </c>
    </row>
    <row r="78" spans="2:17" x14ac:dyDescent="0.3">
      <c r="B78" s="16" t="s">
        <v>66</v>
      </c>
      <c r="G78" s="18">
        <f t="shared" ref="G78:Q78" si="154">+G75-MIN(G75,12*(G76+1))</f>
        <v>0</v>
      </c>
      <c r="H78" s="18">
        <f t="shared" si="154"/>
        <v>1</v>
      </c>
      <c r="I78" s="18">
        <f t="shared" si="154"/>
        <v>1</v>
      </c>
      <c r="J78" s="18">
        <f t="shared" si="154"/>
        <v>1</v>
      </c>
      <c r="K78" s="18">
        <f t="shared" si="154"/>
        <v>1</v>
      </c>
      <c r="L78" s="18">
        <f t="shared" si="154"/>
        <v>1</v>
      </c>
      <c r="M78" s="18">
        <f t="shared" si="154"/>
        <v>1</v>
      </c>
      <c r="N78" s="18">
        <f t="shared" si="154"/>
        <v>1</v>
      </c>
      <c r="O78" s="18">
        <f t="shared" si="154"/>
        <v>1</v>
      </c>
      <c r="P78" s="18">
        <f t="shared" si="154"/>
        <v>1</v>
      </c>
      <c r="Q78" s="18">
        <f t="shared" si="154"/>
        <v>1</v>
      </c>
    </row>
    <row r="79" spans="2:17" x14ac:dyDescent="0.3">
      <c r="C79" s="1"/>
      <c r="D79" s="1"/>
    </row>
    <row r="80" spans="2:17" x14ac:dyDescent="0.3">
      <c r="C80" t="s">
        <v>47</v>
      </c>
      <c r="D80" t="s">
        <v>48</v>
      </c>
      <c r="E80" t="s">
        <v>49</v>
      </c>
      <c r="G80" t="s">
        <v>43</v>
      </c>
      <c r="H80" t="s">
        <v>44</v>
      </c>
      <c r="I80" t="s">
        <v>50</v>
      </c>
      <c r="J80" t="s">
        <v>51</v>
      </c>
      <c r="K80" t="s">
        <v>52</v>
      </c>
      <c r="L80" t="s">
        <v>53</v>
      </c>
      <c r="M80" t="s">
        <v>54</v>
      </c>
      <c r="N80" t="s">
        <v>55</v>
      </c>
      <c r="O80" t="s">
        <v>56</v>
      </c>
      <c r="P80" t="s">
        <v>57</v>
      </c>
      <c r="Q80" t="s">
        <v>58</v>
      </c>
    </row>
    <row r="81" spans="2:17" x14ac:dyDescent="0.3">
      <c r="B81" t="s">
        <v>42</v>
      </c>
      <c r="C81" s="12">
        <v>-1</v>
      </c>
      <c r="D81" s="2">
        <f>+Sheet1!$D$43</f>
        <v>0.03</v>
      </c>
      <c r="E81" s="13">
        <f>+Sheet1!$G$53</f>
        <v>0</v>
      </c>
      <c r="G81" s="14">
        <f>E81*((1+D81)^G87*G88+(1+D81)^(G87+1)*G89)/12</f>
        <v>0</v>
      </c>
      <c r="H81" s="14">
        <f>E81*((1+D81)^H87*H88+(1+D81)^(H87+1)*H89)/12</f>
        <v>0</v>
      </c>
      <c r="I81" s="13">
        <f>E81*((1+D81)^I87*I88+(1+D81)^(I87+1)*I89)/12</f>
        <v>0</v>
      </c>
      <c r="J81" s="13">
        <f>E81*((1+D81)^J87*J88+(1+D81)^(J87+1)*J89)/12</f>
        <v>0</v>
      </c>
      <c r="K81" s="13">
        <f>E81*((1+D81)^K87*K88+(1+D81)^(K87+1)*K89)/12</f>
        <v>0</v>
      </c>
      <c r="L81" s="13">
        <f>E81*((1+D81)^L87*L88+(1+D81)^(L87+1)*L89)/12</f>
        <v>0</v>
      </c>
      <c r="M81" s="13">
        <f>E81*((1+D81)^M87*M88+(1+D81)^(M87+1)*M89)/12</f>
        <v>0</v>
      </c>
      <c r="N81" s="13">
        <f>E81*((1+D81)^N87*N88+(1+D81)^(N87+1)*N89)/12</f>
        <v>0</v>
      </c>
      <c r="O81" s="13">
        <f>E81*((1+D81)^O87*O88+(1+D81)^(O87+1)*O89)/12</f>
        <v>0</v>
      </c>
      <c r="P81" s="13">
        <f>E81*((1+D81)^P87*P88+(1+D81)^(P87+1)*P89)/12</f>
        <v>0</v>
      </c>
      <c r="Q81" s="13">
        <f>E81*((1+D81)^Q87*Q88+(1+D81)^(Q87+1)*Q89)/12</f>
        <v>0</v>
      </c>
    </row>
    <row r="82" spans="2:17" x14ac:dyDescent="0.3">
      <c r="B82" t="s">
        <v>59</v>
      </c>
      <c r="G82" s="14">
        <f t="shared" ref="G82" si="155">IF(G83=0,0,G81/G83*12)</f>
        <v>0</v>
      </c>
      <c r="H82" s="14">
        <f t="shared" ref="H82" si="156">IF(H83=0,0,H81/H83*12)</f>
        <v>0</v>
      </c>
      <c r="I82" s="14">
        <f t="shared" ref="I82" si="157">IF(I83=0,0,I81/I83*12)</f>
        <v>0</v>
      </c>
      <c r="J82" s="14">
        <f t="shared" ref="J82" si="158">IF(J83=0,0,J81/J83*12)</f>
        <v>0</v>
      </c>
      <c r="K82" s="14">
        <f t="shared" ref="K82" si="159">IF(K83=0,0,K81/K83*12)</f>
        <v>0</v>
      </c>
      <c r="L82" s="14">
        <f t="shared" ref="L82" si="160">IF(L83=0,0,L81/L83*12)</f>
        <v>0</v>
      </c>
      <c r="M82" s="14">
        <f t="shared" ref="M82" si="161">IF(M83=0,0,M81/M83*12)</f>
        <v>0</v>
      </c>
      <c r="N82" s="14">
        <f t="shared" ref="N82" si="162">IF(N83=0,0,N81/N83*12)</f>
        <v>0</v>
      </c>
      <c r="O82" s="14">
        <f t="shared" ref="O82" si="163">IF(O83=0,0,O81/O83*12)</f>
        <v>0</v>
      </c>
      <c r="P82" s="14">
        <f t="shared" ref="P82" si="164">IF(P83=0,0,P81/P83*12)</f>
        <v>0</v>
      </c>
      <c r="Q82" s="14">
        <f t="shared" ref="Q82" si="165">IF(Q83=0,0,Q81/Q83*12)</f>
        <v>0</v>
      </c>
    </row>
    <row r="83" spans="2:17" x14ac:dyDescent="0.3">
      <c r="B83" t="s">
        <v>60</v>
      </c>
      <c r="G83" s="15">
        <f t="shared" ref="G83:Q83" si="166">+G86-G85</f>
        <v>1</v>
      </c>
      <c r="H83" s="15">
        <f t="shared" si="166"/>
        <v>12</v>
      </c>
      <c r="I83" s="15">
        <f t="shared" si="166"/>
        <v>12</v>
      </c>
      <c r="J83" s="15">
        <f t="shared" si="166"/>
        <v>12</v>
      </c>
      <c r="K83" s="15">
        <f t="shared" si="166"/>
        <v>12</v>
      </c>
      <c r="L83" s="15">
        <f t="shared" si="166"/>
        <v>12</v>
      </c>
      <c r="M83" s="15">
        <f t="shared" si="166"/>
        <v>12</v>
      </c>
      <c r="N83" s="15">
        <f t="shared" si="166"/>
        <v>12</v>
      </c>
      <c r="O83" s="15">
        <f t="shared" si="166"/>
        <v>12</v>
      </c>
      <c r="P83" s="15">
        <f t="shared" si="166"/>
        <v>12</v>
      </c>
      <c r="Q83" s="15">
        <f t="shared" si="166"/>
        <v>12</v>
      </c>
    </row>
    <row r="84" spans="2:17" x14ac:dyDescent="0.3">
      <c r="B84" s="16" t="s">
        <v>61</v>
      </c>
      <c r="G84" s="17">
        <v>0</v>
      </c>
      <c r="H84" s="17">
        <v>1</v>
      </c>
      <c r="I84" s="17">
        <v>2</v>
      </c>
      <c r="J84" s="17">
        <v>3</v>
      </c>
      <c r="K84" s="17">
        <v>4</v>
      </c>
      <c r="L84" s="17">
        <v>5</v>
      </c>
      <c r="M84" s="17">
        <v>6</v>
      </c>
      <c r="N84" s="17">
        <v>7</v>
      </c>
      <c r="O84" s="17">
        <v>8</v>
      </c>
      <c r="P84" s="17">
        <v>9</v>
      </c>
      <c r="Q84" s="17">
        <v>10</v>
      </c>
    </row>
    <row r="85" spans="2:17" x14ac:dyDescent="0.3">
      <c r="B85" s="16" t="s">
        <v>62</v>
      </c>
      <c r="G85" s="18">
        <f>MAX(0,12*(G84-1)-C81)</f>
        <v>0</v>
      </c>
      <c r="H85" s="18">
        <f>MAX(0,12*(H84-1)-C81)</f>
        <v>1</v>
      </c>
      <c r="I85" s="18">
        <f>MAX(0,12*(I84-1)-C81)</f>
        <v>13</v>
      </c>
      <c r="J85" s="18">
        <f>MAX(0,12*(J84-1)-C81)</f>
        <v>25</v>
      </c>
      <c r="K85" s="18">
        <f>MAX(0,12*(K84-1)-C81)</f>
        <v>37</v>
      </c>
      <c r="L85" s="18">
        <f>MAX(0,12*(L84-1)-C81)</f>
        <v>49</v>
      </c>
      <c r="M85" s="18">
        <f>MAX(0,12*(M84-1)-C81)</f>
        <v>61</v>
      </c>
      <c r="N85" s="18">
        <f>MAX(0,12*(N84-1)-C81)</f>
        <v>73</v>
      </c>
      <c r="O85" s="18">
        <f>MAX(0,12*(O84-1)-C81)</f>
        <v>85</v>
      </c>
      <c r="P85" s="18">
        <f>MAX(0,12*(P84-1)-C81)</f>
        <v>97</v>
      </c>
      <c r="Q85" s="18">
        <f>MAX(0,12*(Q84-1)-C81)</f>
        <v>109</v>
      </c>
    </row>
    <row r="86" spans="2:17" x14ac:dyDescent="0.3">
      <c r="B86" s="16" t="s">
        <v>63</v>
      </c>
      <c r="G86" s="18">
        <f>MAX(0,12*G84-C81)</f>
        <v>1</v>
      </c>
      <c r="H86" s="18">
        <f>MAX(0,12*H84-C81)</f>
        <v>13</v>
      </c>
      <c r="I86" s="18">
        <f>MAX(0,12*I84-C81)</f>
        <v>25</v>
      </c>
      <c r="J86" s="18">
        <f>MAX(0,12*J84-C81)</f>
        <v>37</v>
      </c>
      <c r="K86" s="18">
        <f>MAX(0,12*K84-C81)</f>
        <v>49</v>
      </c>
      <c r="L86" s="18">
        <f>MAX(0,12*L84-C81)</f>
        <v>61</v>
      </c>
      <c r="M86" s="18">
        <f>MAX(0,12*M84-C81)</f>
        <v>73</v>
      </c>
      <c r="N86" s="18">
        <f>MAX(0,12*N84-C81)</f>
        <v>85</v>
      </c>
      <c r="O86" s="18">
        <f>MAX(0,12*O84-C81)</f>
        <v>97</v>
      </c>
      <c r="P86" s="18">
        <f>MAX(0,12*P84-C81)</f>
        <v>109</v>
      </c>
      <c r="Q86" s="18">
        <f>MAX(0,12*Q84-C81)</f>
        <v>121</v>
      </c>
    </row>
    <row r="87" spans="2:17" x14ac:dyDescent="0.3">
      <c r="B87" s="16" t="s">
        <v>64</v>
      </c>
      <c r="G87" s="19">
        <f t="shared" ref="G87:Q87" si="167">INT(G85/12)</f>
        <v>0</v>
      </c>
      <c r="H87" s="19">
        <f t="shared" si="167"/>
        <v>0</v>
      </c>
      <c r="I87" s="19">
        <f t="shared" si="167"/>
        <v>1</v>
      </c>
      <c r="J87" s="19">
        <f t="shared" si="167"/>
        <v>2</v>
      </c>
      <c r="K87" s="19">
        <f t="shared" si="167"/>
        <v>3</v>
      </c>
      <c r="L87" s="19">
        <f t="shared" si="167"/>
        <v>4</v>
      </c>
      <c r="M87" s="19">
        <f t="shared" si="167"/>
        <v>5</v>
      </c>
      <c r="N87" s="19">
        <f t="shared" si="167"/>
        <v>6</v>
      </c>
      <c r="O87" s="19">
        <f t="shared" si="167"/>
        <v>7</v>
      </c>
      <c r="P87" s="19">
        <f t="shared" si="167"/>
        <v>8</v>
      </c>
      <c r="Q87" s="19">
        <f t="shared" si="167"/>
        <v>9</v>
      </c>
    </row>
    <row r="88" spans="2:17" x14ac:dyDescent="0.3">
      <c r="B88" s="16" t="s">
        <v>65</v>
      </c>
      <c r="G88" s="18">
        <f t="shared" ref="G88" si="168">MIN(G86,12*(G87+1))-G85</f>
        <v>1</v>
      </c>
      <c r="H88" s="18">
        <f t="shared" ref="H88" si="169">MIN(H86,12*(H87+1))-H85</f>
        <v>11</v>
      </c>
      <c r="I88" s="18">
        <f t="shared" ref="I88" si="170">MIN(I86,12*(I87+1))-I85</f>
        <v>11</v>
      </c>
      <c r="J88" s="18">
        <f t="shared" ref="J88" si="171">MIN(J86,12*(J87+1))-J85</f>
        <v>11</v>
      </c>
      <c r="K88" s="18">
        <f t="shared" ref="K88" si="172">MIN(K86,12*(K87+1))-K85</f>
        <v>11</v>
      </c>
      <c r="L88" s="18">
        <f t="shared" ref="L88" si="173">MIN(L86,12*(L87+1))-L85</f>
        <v>11</v>
      </c>
      <c r="M88" s="18">
        <f t="shared" ref="M88" si="174">MIN(M86,12*(M87+1))-M85</f>
        <v>11</v>
      </c>
      <c r="N88" s="18">
        <f t="shared" ref="N88" si="175">MIN(N86,12*(N87+1))-N85</f>
        <v>11</v>
      </c>
      <c r="O88" s="18">
        <f t="shared" ref="O88" si="176">MIN(O86,12*(O87+1))-O85</f>
        <v>11</v>
      </c>
      <c r="P88" s="18">
        <f t="shared" ref="P88" si="177">MIN(P86,12*(P87+1))-P85</f>
        <v>11</v>
      </c>
      <c r="Q88" s="18">
        <f t="shared" ref="Q88" si="178">MIN(Q86,12*(Q87+1))-Q85</f>
        <v>11</v>
      </c>
    </row>
    <row r="89" spans="2:17" x14ac:dyDescent="0.3">
      <c r="B89" s="16" t="s">
        <v>66</v>
      </c>
      <c r="G89" s="18">
        <f t="shared" ref="G89:Q89" si="179">+G86-MIN(G86,12*(G87+1))</f>
        <v>0</v>
      </c>
      <c r="H89" s="18">
        <f t="shared" si="179"/>
        <v>1</v>
      </c>
      <c r="I89" s="18">
        <f t="shared" si="179"/>
        <v>1</v>
      </c>
      <c r="J89" s="18">
        <f t="shared" si="179"/>
        <v>1</v>
      </c>
      <c r="K89" s="18">
        <f t="shared" si="179"/>
        <v>1</v>
      </c>
      <c r="L89" s="18">
        <f t="shared" si="179"/>
        <v>1</v>
      </c>
      <c r="M89" s="18">
        <f t="shared" si="179"/>
        <v>1</v>
      </c>
      <c r="N89" s="18">
        <f t="shared" si="179"/>
        <v>1</v>
      </c>
      <c r="O89" s="18">
        <f t="shared" si="179"/>
        <v>1</v>
      </c>
      <c r="P89" s="18">
        <f t="shared" si="179"/>
        <v>1</v>
      </c>
      <c r="Q89" s="18">
        <f t="shared" si="179"/>
        <v>1</v>
      </c>
    </row>
    <row r="90" spans="2:17" x14ac:dyDescent="0.3">
      <c r="C90" s="1"/>
      <c r="D90" s="1"/>
    </row>
    <row r="91" spans="2:17" x14ac:dyDescent="0.3">
      <c r="C91" t="s">
        <v>47</v>
      </c>
      <c r="D91" t="s">
        <v>48</v>
      </c>
      <c r="E91" t="s">
        <v>49</v>
      </c>
      <c r="G91" t="s">
        <v>43</v>
      </c>
      <c r="H91" t="s">
        <v>44</v>
      </c>
      <c r="I91" t="s">
        <v>50</v>
      </c>
      <c r="J91" t="s">
        <v>51</v>
      </c>
      <c r="K91" t="s">
        <v>52</v>
      </c>
      <c r="L91" t="s">
        <v>53</v>
      </c>
      <c r="M91" t="s">
        <v>54</v>
      </c>
      <c r="N91" t="s">
        <v>55</v>
      </c>
      <c r="O91" t="s">
        <v>56</v>
      </c>
      <c r="P91" t="s">
        <v>57</v>
      </c>
      <c r="Q91" t="s">
        <v>58</v>
      </c>
    </row>
    <row r="92" spans="2:17" x14ac:dyDescent="0.3">
      <c r="B92" t="s">
        <v>42</v>
      </c>
      <c r="C92" s="12">
        <v>-1</v>
      </c>
      <c r="D92" s="2">
        <f>+Sheet1!$D$43</f>
        <v>0.03</v>
      </c>
      <c r="E92" s="13">
        <f>+Sheet1!$G$54</f>
        <v>0</v>
      </c>
      <c r="G92" s="14">
        <f>E92*((1+D92)^G98*G99+(1+D92)^(G98+1)*G100)/12</f>
        <v>0</v>
      </c>
      <c r="H92" s="14">
        <f>E92*((1+D92)^H98*H99+(1+D92)^(H98+1)*H100)/12</f>
        <v>0</v>
      </c>
      <c r="I92" s="13">
        <f>E92*((1+D92)^I98*I99+(1+D92)^(I98+1)*I100)/12</f>
        <v>0</v>
      </c>
      <c r="J92" s="13">
        <f>E92*((1+D92)^J98*J99+(1+D92)^(J98+1)*J100)/12</f>
        <v>0</v>
      </c>
      <c r="K92" s="13">
        <f>E92*((1+D92)^K98*K99+(1+D92)^(K98+1)*K100)/12</f>
        <v>0</v>
      </c>
      <c r="L92" s="13">
        <f>E92*((1+D92)^L98*L99+(1+D92)^(L98+1)*L100)/12</f>
        <v>0</v>
      </c>
      <c r="M92" s="13">
        <f>E92*((1+D92)^M98*M99+(1+D92)^(M98+1)*M100)/12</f>
        <v>0</v>
      </c>
      <c r="N92" s="13">
        <f>E92*((1+D92)^N98*N99+(1+D92)^(N98+1)*N100)/12</f>
        <v>0</v>
      </c>
      <c r="O92" s="13">
        <f>E92*((1+D92)^O98*O99+(1+D92)^(O98+1)*O100)/12</f>
        <v>0</v>
      </c>
      <c r="P92" s="13">
        <f>E92*((1+D92)^P98*P99+(1+D92)^(P98+1)*P100)/12</f>
        <v>0</v>
      </c>
      <c r="Q92" s="13">
        <f>E92*((1+D92)^Q98*Q99+(1+D92)^(Q98+1)*Q100)/12</f>
        <v>0</v>
      </c>
    </row>
    <row r="93" spans="2:17" x14ac:dyDescent="0.3">
      <c r="B93" t="s">
        <v>59</v>
      </c>
      <c r="G93" s="14">
        <f t="shared" ref="G93" si="180">IF(G94=0,0,G92/G94*12)</f>
        <v>0</v>
      </c>
      <c r="H93" s="14">
        <f t="shared" ref="H93" si="181">IF(H94=0,0,H92/H94*12)</f>
        <v>0</v>
      </c>
      <c r="I93" s="14">
        <f t="shared" ref="I93" si="182">IF(I94=0,0,I92/I94*12)</f>
        <v>0</v>
      </c>
      <c r="J93" s="14">
        <f t="shared" ref="J93" si="183">IF(J94=0,0,J92/J94*12)</f>
        <v>0</v>
      </c>
      <c r="K93" s="14">
        <f t="shared" ref="K93" si="184">IF(K94=0,0,K92/K94*12)</f>
        <v>0</v>
      </c>
      <c r="L93" s="14">
        <f t="shared" ref="L93" si="185">IF(L94=0,0,L92/L94*12)</f>
        <v>0</v>
      </c>
      <c r="M93" s="14">
        <f t="shared" ref="M93" si="186">IF(M94=0,0,M92/M94*12)</f>
        <v>0</v>
      </c>
      <c r="N93" s="14">
        <f t="shared" ref="N93" si="187">IF(N94=0,0,N92/N94*12)</f>
        <v>0</v>
      </c>
      <c r="O93" s="14">
        <f t="shared" ref="O93" si="188">IF(O94=0,0,O92/O94*12)</f>
        <v>0</v>
      </c>
      <c r="P93" s="14">
        <f t="shared" ref="P93" si="189">IF(P94=0,0,P92/P94*12)</f>
        <v>0</v>
      </c>
      <c r="Q93" s="14">
        <f t="shared" ref="Q93" si="190">IF(Q94=0,0,Q92/Q94*12)</f>
        <v>0</v>
      </c>
    </row>
    <row r="94" spans="2:17" x14ac:dyDescent="0.3">
      <c r="B94" t="s">
        <v>60</v>
      </c>
      <c r="G94" s="15">
        <f t="shared" ref="G94:Q94" si="191">+G97-G96</f>
        <v>1</v>
      </c>
      <c r="H94" s="15">
        <f t="shared" si="191"/>
        <v>12</v>
      </c>
      <c r="I94" s="15">
        <f t="shared" si="191"/>
        <v>12</v>
      </c>
      <c r="J94" s="15">
        <f t="shared" si="191"/>
        <v>12</v>
      </c>
      <c r="K94" s="15">
        <f t="shared" si="191"/>
        <v>12</v>
      </c>
      <c r="L94" s="15">
        <f t="shared" si="191"/>
        <v>12</v>
      </c>
      <c r="M94" s="15">
        <f t="shared" si="191"/>
        <v>12</v>
      </c>
      <c r="N94" s="15">
        <f t="shared" si="191"/>
        <v>12</v>
      </c>
      <c r="O94" s="15">
        <f t="shared" si="191"/>
        <v>12</v>
      </c>
      <c r="P94" s="15">
        <f t="shared" si="191"/>
        <v>12</v>
      </c>
      <c r="Q94" s="15">
        <f t="shared" si="191"/>
        <v>12</v>
      </c>
    </row>
    <row r="95" spans="2:17" x14ac:dyDescent="0.3">
      <c r="B95" s="16" t="s">
        <v>61</v>
      </c>
      <c r="G95" s="17">
        <v>0</v>
      </c>
      <c r="H95" s="17">
        <v>1</v>
      </c>
      <c r="I95" s="17">
        <v>2</v>
      </c>
      <c r="J95" s="17">
        <v>3</v>
      </c>
      <c r="K95" s="17">
        <v>4</v>
      </c>
      <c r="L95" s="17">
        <v>5</v>
      </c>
      <c r="M95" s="17">
        <v>6</v>
      </c>
      <c r="N95" s="17">
        <v>7</v>
      </c>
      <c r="O95" s="17">
        <v>8</v>
      </c>
      <c r="P95" s="17">
        <v>9</v>
      </c>
      <c r="Q95" s="17">
        <v>10</v>
      </c>
    </row>
    <row r="96" spans="2:17" x14ac:dyDescent="0.3">
      <c r="B96" s="16" t="s">
        <v>62</v>
      </c>
      <c r="G96" s="18">
        <f>MAX(0,12*(G95-1)-C92)</f>
        <v>0</v>
      </c>
      <c r="H96" s="18">
        <f>MAX(0,12*(H95-1)-C92)</f>
        <v>1</v>
      </c>
      <c r="I96" s="18">
        <f>MAX(0,12*(I95-1)-C92)</f>
        <v>13</v>
      </c>
      <c r="J96" s="18">
        <f>MAX(0,12*(J95-1)-C92)</f>
        <v>25</v>
      </c>
      <c r="K96" s="18">
        <f>MAX(0,12*(K95-1)-C92)</f>
        <v>37</v>
      </c>
      <c r="L96" s="18">
        <f>MAX(0,12*(L95-1)-C92)</f>
        <v>49</v>
      </c>
      <c r="M96" s="18">
        <f>MAX(0,12*(M95-1)-C92)</f>
        <v>61</v>
      </c>
      <c r="N96" s="18">
        <f>MAX(0,12*(N95-1)-C92)</f>
        <v>73</v>
      </c>
      <c r="O96" s="18">
        <f>MAX(0,12*(O95-1)-C92)</f>
        <v>85</v>
      </c>
      <c r="P96" s="18">
        <f>MAX(0,12*(P95-1)-C92)</f>
        <v>97</v>
      </c>
      <c r="Q96" s="18">
        <f>MAX(0,12*(Q95-1)-C92)</f>
        <v>109</v>
      </c>
    </row>
    <row r="97" spans="2:17" x14ac:dyDescent="0.3">
      <c r="B97" s="16" t="s">
        <v>63</v>
      </c>
      <c r="G97" s="18">
        <f>MAX(0,12*G95-C92)</f>
        <v>1</v>
      </c>
      <c r="H97" s="18">
        <f>MAX(0,12*H95-C92)</f>
        <v>13</v>
      </c>
      <c r="I97" s="18">
        <f>MAX(0,12*I95-C92)</f>
        <v>25</v>
      </c>
      <c r="J97" s="18">
        <f>MAX(0,12*J95-C92)</f>
        <v>37</v>
      </c>
      <c r="K97" s="18">
        <f>MAX(0,12*K95-C92)</f>
        <v>49</v>
      </c>
      <c r="L97" s="18">
        <f>MAX(0,12*L95-C92)</f>
        <v>61</v>
      </c>
      <c r="M97" s="18">
        <f>MAX(0,12*M95-C92)</f>
        <v>73</v>
      </c>
      <c r="N97" s="18">
        <f>MAX(0,12*N95-C92)</f>
        <v>85</v>
      </c>
      <c r="O97" s="18">
        <f>MAX(0,12*O95-C92)</f>
        <v>97</v>
      </c>
      <c r="P97" s="18">
        <f>MAX(0,12*P95-C92)</f>
        <v>109</v>
      </c>
      <c r="Q97" s="18">
        <f>MAX(0,12*Q95-C92)</f>
        <v>121</v>
      </c>
    </row>
    <row r="98" spans="2:17" x14ac:dyDescent="0.3">
      <c r="B98" s="16" t="s">
        <v>64</v>
      </c>
      <c r="G98" s="19">
        <f t="shared" ref="G98:Q98" si="192">INT(G96/12)</f>
        <v>0</v>
      </c>
      <c r="H98" s="19">
        <f t="shared" si="192"/>
        <v>0</v>
      </c>
      <c r="I98" s="19">
        <f t="shared" si="192"/>
        <v>1</v>
      </c>
      <c r="J98" s="19">
        <f t="shared" si="192"/>
        <v>2</v>
      </c>
      <c r="K98" s="19">
        <f t="shared" si="192"/>
        <v>3</v>
      </c>
      <c r="L98" s="19">
        <f t="shared" si="192"/>
        <v>4</v>
      </c>
      <c r="M98" s="19">
        <f t="shared" si="192"/>
        <v>5</v>
      </c>
      <c r="N98" s="19">
        <f t="shared" si="192"/>
        <v>6</v>
      </c>
      <c r="O98" s="19">
        <f t="shared" si="192"/>
        <v>7</v>
      </c>
      <c r="P98" s="19">
        <f t="shared" si="192"/>
        <v>8</v>
      </c>
      <c r="Q98" s="19">
        <f t="shared" si="192"/>
        <v>9</v>
      </c>
    </row>
    <row r="99" spans="2:17" x14ac:dyDescent="0.3">
      <c r="B99" s="16" t="s">
        <v>65</v>
      </c>
      <c r="G99" s="18">
        <f t="shared" ref="G99" si="193">MIN(G97,12*(G98+1))-G96</f>
        <v>1</v>
      </c>
      <c r="H99" s="18">
        <f t="shared" ref="H99" si="194">MIN(H97,12*(H98+1))-H96</f>
        <v>11</v>
      </c>
      <c r="I99" s="18">
        <f t="shared" ref="I99" si="195">MIN(I97,12*(I98+1))-I96</f>
        <v>11</v>
      </c>
      <c r="J99" s="18">
        <f t="shared" ref="J99" si="196">MIN(J97,12*(J98+1))-J96</f>
        <v>11</v>
      </c>
      <c r="K99" s="18">
        <f t="shared" ref="K99" si="197">MIN(K97,12*(K98+1))-K96</f>
        <v>11</v>
      </c>
      <c r="L99" s="18">
        <f t="shared" ref="L99" si="198">MIN(L97,12*(L98+1))-L96</f>
        <v>11</v>
      </c>
      <c r="M99" s="18">
        <f t="shared" ref="M99" si="199">MIN(M97,12*(M98+1))-M96</f>
        <v>11</v>
      </c>
      <c r="N99" s="18">
        <f t="shared" ref="N99" si="200">MIN(N97,12*(N98+1))-N96</f>
        <v>11</v>
      </c>
      <c r="O99" s="18">
        <f t="shared" ref="O99" si="201">MIN(O97,12*(O98+1))-O96</f>
        <v>11</v>
      </c>
      <c r="P99" s="18">
        <f t="shared" ref="P99" si="202">MIN(P97,12*(P98+1))-P96</f>
        <v>11</v>
      </c>
      <c r="Q99" s="18">
        <f t="shared" ref="Q99" si="203">MIN(Q97,12*(Q98+1))-Q96</f>
        <v>11</v>
      </c>
    </row>
    <row r="100" spans="2:17" x14ac:dyDescent="0.3">
      <c r="B100" s="16" t="s">
        <v>66</v>
      </c>
      <c r="G100" s="18">
        <f t="shared" ref="G100:Q100" si="204">+G97-MIN(G97,12*(G98+1))</f>
        <v>0</v>
      </c>
      <c r="H100" s="18">
        <f t="shared" si="204"/>
        <v>1</v>
      </c>
      <c r="I100" s="18">
        <f t="shared" si="204"/>
        <v>1</v>
      </c>
      <c r="J100" s="18">
        <f t="shared" si="204"/>
        <v>1</v>
      </c>
      <c r="K100" s="18">
        <f t="shared" si="204"/>
        <v>1</v>
      </c>
      <c r="L100" s="18">
        <f t="shared" si="204"/>
        <v>1</v>
      </c>
      <c r="M100" s="18">
        <f t="shared" si="204"/>
        <v>1</v>
      </c>
      <c r="N100" s="18">
        <f t="shared" si="204"/>
        <v>1</v>
      </c>
      <c r="O100" s="18">
        <f t="shared" si="204"/>
        <v>1</v>
      </c>
      <c r="P100" s="18">
        <f t="shared" si="204"/>
        <v>1</v>
      </c>
      <c r="Q100" s="18">
        <f t="shared" si="204"/>
        <v>1</v>
      </c>
    </row>
    <row r="101" spans="2:17" x14ac:dyDescent="0.3">
      <c r="C101" s="1"/>
      <c r="D101" s="1"/>
    </row>
    <row r="102" spans="2:17" x14ac:dyDescent="0.3">
      <c r="C102" t="s">
        <v>47</v>
      </c>
      <c r="D102" t="s">
        <v>48</v>
      </c>
      <c r="E102" t="s">
        <v>49</v>
      </c>
      <c r="G102" t="s">
        <v>43</v>
      </c>
      <c r="H102" t="s">
        <v>44</v>
      </c>
      <c r="I102" t="s">
        <v>50</v>
      </c>
      <c r="J102" t="s">
        <v>51</v>
      </c>
      <c r="K102" t="s">
        <v>52</v>
      </c>
      <c r="L102" t="s">
        <v>53</v>
      </c>
      <c r="M102" t="s">
        <v>54</v>
      </c>
      <c r="N102" t="s">
        <v>55</v>
      </c>
      <c r="O102" t="s">
        <v>56</v>
      </c>
      <c r="P102" t="s">
        <v>57</v>
      </c>
      <c r="Q102" t="s">
        <v>58</v>
      </c>
    </row>
    <row r="103" spans="2:17" x14ac:dyDescent="0.3">
      <c r="B103" t="s">
        <v>42</v>
      </c>
      <c r="C103" s="12">
        <v>-1</v>
      </c>
      <c r="D103" s="2">
        <f>+Sheet1!$D$43</f>
        <v>0.03</v>
      </c>
      <c r="E103" s="13">
        <f>+Sheet1!$G$55</f>
        <v>0</v>
      </c>
      <c r="G103" s="14">
        <f>E103*((1+D103)^G109*G110+(1+D103)^(G109+1)*G111)/12</f>
        <v>0</v>
      </c>
      <c r="H103" s="14">
        <f>E103*((1+D103)^H109*H110+(1+D103)^(H109+1)*H111)/12</f>
        <v>0</v>
      </c>
      <c r="I103" s="13">
        <f>E103*((1+D103)^I109*I110+(1+D103)^(I109+1)*I111)/12</f>
        <v>0</v>
      </c>
      <c r="J103" s="13">
        <f>E103*((1+D103)^J109*J110+(1+D103)^(J109+1)*J111)/12</f>
        <v>0</v>
      </c>
      <c r="K103" s="13">
        <f>E103*((1+D103)^K109*K110+(1+D103)^(K109+1)*K111)/12</f>
        <v>0</v>
      </c>
      <c r="L103" s="13">
        <f>E103*((1+D103)^L109*L110+(1+D103)^(L109+1)*L111)/12</f>
        <v>0</v>
      </c>
      <c r="M103" s="13">
        <f>E103*((1+D103)^M109*M110+(1+D103)^(M109+1)*M111)/12</f>
        <v>0</v>
      </c>
      <c r="N103" s="13">
        <f>E103*((1+D103)^N109*N110+(1+D103)^(N109+1)*N111)/12</f>
        <v>0</v>
      </c>
      <c r="O103" s="13">
        <f>E103*((1+D103)^O109*O110+(1+D103)^(O109+1)*O111)/12</f>
        <v>0</v>
      </c>
      <c r="P103" s="13">
        <f>E103*((1+D103)^P109*P110+(1+D103)^(P109+1)*P111)/12</f>
        <v>0</v>
      </c>
      <c r="Q103" s="13">
        <f>E103*((1+D103)^Q109*Q110+(1+D103)^(Q109+1)*Q111)/12</f>
        <v>0</v>
      </c>
    </row>
    <row r="104" spans="2:17" x14ac:dyDescent="0.3">
      <c r="B104" t="s">
        <v>59</v>
      </c>
      <c r="G104" s="14">
        <f t="shared" ref="G104" si="205">IF(G105=0,0,G103/G105*12)</f>
        <v>0</v>
      </c>
      <c r="H104" s="14">
        <f t="shared" ref="H104" si="206">IF(H105=0,0,H103/H105*12)</f>
        <v>0</v>
      </c>
      <c r="I104" s="14">
        <f t="shared" ref="I104" si="207">IF(I105=0,0,I103/I105*12)</f>
        <v>0</v>
      </c>
      <c r="J104" s="14">
        <f t="shared" ref="J104" si="208">IF(J105=0,0,J103/J105*12)</f>
        <v>0</v>
      </c>
      <c r="K104" s="14">
        <f t="shared" ref="K104" si="209">IF(K105=0,0,K103/K105*12)</f>
        <v>0</v>
      </c>
      <c r="L104" s="14">
        <f t="shared" ref="L104" si="210">IF(L105=0,0,L103/L105*12)</f>
        <v>0</v>
      </c>
      <c r="M104" s="14">
        <f t="shared" ref="M104" si="211">IF(M105=0,0,M103/M105*12)</f>
        <v>0</v>
      </c>
      <c r="N104" s="14">
        <f t="shared" ref="N104" si="212">IF(N105=0,0,N103/N105*12)</f>
        <v>0</v>
      </c>
      <c r="O104" s="14">
        <f t="shared" ref="O104" si="213">IF(O105=0,0,O103/O105*12)</f>
        <v>0</v>
      </c>
      <c r="P104" s="14">
        <f t="shared" ref="P104" si="214">IF(P105=0,0,P103/P105*12)</f>
        <v>0</v>
      </c>
      <c r="Q104" s="14">
        <f t="shared" ref="Q104" si="215">IF(Q105=0,0,Q103/Q105*12)</f>
        <v>0</v>
      </c>
    </row>
    <row r="105" spans="2:17" x14ac:dyDescent="0.3">
      <c r="B105" t="s">
        <v>60</v>
      </c>
      <c r="G105" s="15">
        <f t="shared" ref="G105:Q105" si="216">+G108-G107</f>
        <v>1</v>
      </c>
      <c r="H105" s="15">
        <f t="shared" si="216"/>
        <v>12</v>
      </c>
      <c r="I105" s="15">
        <f t="shared" si="216"/>
        <v>12</v>
      </c>
      <c r="J105" s="15">
        <f t="shared" si="216"/>
        <v>12</v>
      </c>
      <c r="K105" s="15">
        <f t="shared" si="216"/>
        <v>12</v>
      </c>
      <c r="L105" s="15">
        <f t="shared" si="216"/>
        <v>12</v>
      </c>
      <c r="M105" s="15">
        <f t="shared" si="216"/>
        <v>12</v>
      </c>
      <c r="N105" s="15">
        <f t="shared" si="216"/>
        <v>12</v>
      </c>
      <c r="O105" s="15">
        <f t="shared" si="216"/>
        <v>12</v>
      </c>
      <c r="P105" s="15">
        <f t="shared" si="216"/>
        <v>12</v>
      </c>
      <c r="Q105" s="15">
        <f t="shared" si="216"/>
        <v>12</v>
      </c>
    </row>
    <row r="106" spans="2:17" x14ac:dyDescent="0.3">
      <c r="B106" s="16" t="s">
        <v>61</v>
      </c>
      <c r="G106" s="17">
        <v>0</v>
      </c>
      <c r="H106" s="17">
        <v>1</v>
      </c>
      <c r="I106" s="17">
        <v>2</v>
      </c>
      <c r="J106" s="17">
        <v>3</v>
      </c>
      <c r="K106" s="17">
        <v>4</v>
      </c>
      <c r="L106" s="17">
        <v>5</v>
      </c>
      <c r="M106" s="17">
        <v>6</v>
      </c>
      <c r="N106" s="17">
        <v>7</v>
      </c>
      <c r="O106" s="17">
        <v>8</v>
      </c>
      <c r="P106" s="17">
        <v>9</v>
      </c>
      <c r="Q106" s="17">
        <v>10</v>
      </c>
    </row>
    <row r="107" spans="2:17" x14ac:dyDescent="0.3">
      <c r="B107" s="16" t="s">
        <v>62</v>
      </c>
      <c r="G107" s="18">
        <f>MAX(0,12*(G106-1)-C103)</f>
        <v>0</v>
      </c>
      <c r="H107" s="18">
        <f>MAX(0,12*(H106-1)-C103)</f>
        <v>1</v>
      </c>
      <c r="I107" s="18">
        <f>MAX(0,12*(I106-1)-C103)</f>
        <v>13</v>
      </c>
      <c r="J107" s="18">
        <f>MAX(0,12*(J106-1)-C103)</f>
        <v>25</v>
      </c>
      <c r="K107" s="18">
        <f>MAX(0,12*(K106-1)-C103)</f>
        <v>37</v>
      </c>
      <c r="L107" s="18">
        <f>MAX(0,12*(L106-1)-C103)</f>
        <v>49</v>
      </c>
      <c r="M107" s="18">
        <f>MAX(0,12*(M106-1)-C103)</f>
        <v>61</v>
      </c>
      <c r="N107" s="18">
        <f>MAX(0,12*(N106-1)-C103)</f>
        <v>73</v>
      </c>
      <c r="O107" s="18">
        <f>MAX(0,12*(O106-1)-C103)</f>
        <v>85</v>
      </c>
      <c r="P107" s="18">
        <f>MAX(0,12*(P106-1)-C103)</f>
        <v>97</v>
      </c>
      <c r="Q107" s="18">
        <f>MAX(0,12*(Q106-1)-C103)</f>
        <v>109</v>
      </c>
    </row>
    <row r="108" spans="2:17" x14ac:dyDescent="0.3">
      <c r="B108" s="16" t="s">
        <v>63</v>
      </c>
      <c r="G108" s="18">
        <f>MAX(0,12*G106-C103)</f>
        <v>1</v>
      </c>
      <c r="H108" s="18">
        <f>MAX(0,12*H106-C103)</f>
        <v>13</v>
      </c>
      <c r="I108" s="18">
        <f>MAX(0,12*I106-C103)</f>
        <v>25</v>
      </c>
      <c r="J108" s="18">
        <f>MAX(0,12*J106-C103)</f>
        <v>37</v>
      </c>
      <c r="K108" s="18">
        <f>MAX(0,12*K106-C103)</f>
        <v>49</v>
      </c>
      <c r="L108" s="18">
        <f>MAX(0,12*L106-C103)</f>
        <v>61</v>
      </c>
      <c r="M108" s="18">
        <f>MAX(0,12*M106-C103)</f>
        <v>73</v>
      </c>
      <c r="N108" s="18">
        <f>MAX(0,12*N106-C103)</f>
        <v>85</v>
      </c>
      <c r="O108" s="18">
        <f>MAX(0,12*O106-C103)</f>
        <v>97</v>
      </c>
      <c r="P108" s="18">
        <f>MAX(0,12*P106-C103)</f>
        <v>109</v>
      </c>
      <c r="Q108" s="18">
        <f>MAX(0,12*Q106-C103)</f>
        <v>121</v>
      </c>
    </row>
    <row r="109" spans="2:17" x14ac:dyDescent="0.3">
      <c r="B109" s="16" t="s">
        <v>64</v>
      </c>
      <c r="G109" s="19">
        <f t="shared" ref="G109:Q109" si="217">INT(G107/12)</f>
        <v>0</v>
      </c>
      <c r="H109" s="19">
        <f t="shared" si="217"/>
        <v>0</v>
      </c>
      <c r="I109" s="19">
        <f t="shared" si="217"/>
        <v>1</v>
      </c>
      <c r="J109" s="19">
        <f t="shared" si="217"/>
        <v>2</v>
      </c>
      <c r="K109" s="19">
        <f t="shared" si="217"/>
        <v>3</v>
      </c>
      <c r="L109" s="19">
        <f t="shared" si="217"/>
        <v>4</v>
      </c>
      <c r="M109" s="19">
        <f t="shared" si="217"/>
        <v>5</v>
      </c>
      <c r="N109" s="19">
        <f t="shared" si="217"/>
        <v>6</v>
      </c>
      <c r="O109" s="19">
        <f t="shared" si="217"/>
        <v>7</v>
      </c>
      <c r="P109" s="19">
        <f t="shared" si="217"/>
        <v>8</v>
      </c>
      <c r="Q109" s="19">
        <f t="shared" si="217"/>
        <v>9</v>
      </c>
    </row>
    <row r="110" spans="2:17" x14ac:dyDescent="0.3">
      <c r="B110" s="16" t="s">
        <v>65</v>
      </c>
      <c r="G110" s="18">
        <f t="shared" ref="G110" si="218">MIN(G108,12*(G109+1))-G107</f>
        <v>1</v>
      </c>
      <c r="H110" s="18">
        <f t="shared" ref="H110" si="219">MIN(H108,12*(H109+1))-H107</f>
        <v>11</v>
      </c>
      <c r="I110" s="18">
        <f t="shared" ref="I110" si="220">MIN(I108,12*(I109+1))-I107</f>
        <v>11</v>
      </c>
      <c r="J110" s="18">
        <f t="shared" ref="J110" si="221">MIN(J108,12*(J109+1))-J107</f>
        <v>11</v>
      </c>
      <c r="K110" s="18">
        <f t="shared" ref="K110" si="222">MIN(K108,12*(K109+1))-K107</f>
        <v>11</v>
      </c>
      <c r="L110" s="18">
        <f t="shared" ref="L110" si="223">MIN(L108,12*(L109+1))-L107</f>
        <v>11</v>
      </c>
      <c r="M110" s="18">
        <f t="shared" ref="M110" si="224">MIN(M108,12*(M109+1))-M107</f>
        <v>11</v>
      </c>
      <c r="N110" s="18">
        <f t="shared" ref="N110" si="225">MIN(N108,12*(N109+1))-N107</f>
        <v>11</v>
      </c>
      <c r="O110" s="18">
        <f t="shared" ref="O110" si="226">MIN(O108,12*(O109+1))-O107</f>
        <v>11</v>
      </c>
      <c r="P110" s="18">
        <f t="shared" ref="P110" si="227">MIN(P108,12*(P109+1))-P107</f>
        <v>11</v>
      </c>
      <c r="Q110" s="18">
        <f t="shared" ref="Q110" si="228">MIN(Q108,12*(Q109+1))-Q107</f>
        <v>11</v>
      </c>
    </row>
    <row r="111" spans="2:17" x14ac:dyDescent="0.3">
      <c r="B111" s="16" t="s">
        <v>66</v>
      </c>
      <c r="G111" s="18">
        <f t="shared" ref="G111:Q111" si="229">+G108-MIN(G108,12*(G109+1))</f>
        <v>0</v>
      </c>
      <c r="H111" s="18">
        <f t="shared" si="229"/>
        <v>1</v>
      </c>
      <c r="I111" s="18">
        <f t="shared" si="229"/>
        <v>1</v>
      </c>
      <c r="J111" s="18">
        <f t="shared" si="229"/>
        <v>1</v>
      </c>
      <c r="K111" s="18">
        <f t="shared" si="229"/>
        <v>1</v>
      </c>
      <c r="L111" s="18">
        <f t="shared" si="229"/>
        <v>1</v>
      </c>
      <c r="M111" s="18">
        <f t="shared" si="229"/>
        <v>1</v>
      </c>
      <c r="N111" s="18">
        <f t="shared" si="229"/>
        <v>1</v>
      </c>
      <c r="O111" s="18">
        <f t="shared" si="229"/>
        <v>1</v>
      </c>
      <c r="P111" s="18">
        <f t="shared" si="229"/>
        <v>1</v>
      </c>
      <c r="Q111" s="18">
        <f t="shared" si="229"/>
        <v>1</v>
      </c>
    </row>
    <row r="112" spans="2:17" x14ac:dyDescent="0.3">
      <c r="C112" s="1"/>
      <c r="D112" s="1"/>
    </row>
    <row r="113" spans="2:17" x14ac:dyDescent="0.3">
      <c r="C113" t="s">
        <v>47</v>
      </c>
      <c r="D113" t="s">
        <v>48</v>
      </c>
      <c r="E113" t="s">
        <v>49</v>
      </c>
      <c r="G113" t="s">
        <v>43</v>
      </c>
      <c r="H113" t="s">
        <v>44</v>
      </c>
      <c r="I113" t="s">
        <v>50</v>
      </c>
      <c r="J113" t="s">
        <v>51</v>
      </c>
      <c r="K113" t="s">
        <v>52</v>
      </c>
      <c r="L113" t="s">
        <v>53</v>
      </c>
      <c r="M113" t="s">
        <v>54</v>
      </c>
      <c r="N113" t="s">
        <v>55</v>
      </c>
      <c r="O113" t="s">
        <v>56</v>
      </c>
      <c r="P113" t="s">
        <v>57</v>
      </c>
      <c r="Q113" t="s">
        <v>58</v>
      </c>
    </row>
    <row r="114" spans="2:17" x14ac:dyDescent="0.3">
      <c r="B114" t="s">
        <v>42</v>
      </c>
      <c r="C114" s="12">
        <v>-1</v>
      </c>
      <c r="D114" s="2">
        <f>+Sheet1!$D$43</f>
        <v>0.03</v>
      </c>
      <c r="E114" s="13">
        <f>+Sheet1!$G$56</f>
        <v>24904.880000000001</v>
      </c>
      <c r="G114" s="14">
        <f>E114*((1+D114)^G120*G121+(1+D114)^(G120+1)*G122)/12</f>
        <v>2075.4066666666668</v>
      </c>
      <c r="H114" s="14">
        <f>E114*((1+D114)^H120*H121+(1+D114)^(H120+1)*H122)/12</f>
        <v>24967.142200000002</v>
      </c>
      <c r="I114" s="13">
        <f>E114*((1+D114)^I120*I121+(1+D114)^(I120+1)*I122)/12</f>
        <v>25716.156466</v>
      </c>
      <c r="J114" s="13">
        <f>E114*((1+D114)^J120*J121+(1+D114)^(J120+1)*J122)/12</f>
        <v>26487.641159980001</v>
      </c>
      <c r="K114" s="13">
        <f>E114*((1+D114)^K120*K121+(1+D114)^(K120+1)*K122)/12</f>
        <v>27282.270394779403</v>
      </c>
      <c r="L114" s="13">
        <f>E114*((1+D114)^L120*L121+(1+D114)^(L120+1)*L122)/12</f>
        <v>28100.738506622783</v>
      </c>
      <c r="M114" s="13">
        <f>E114*((1+D114)^M120*M121+(1+D114)^(M120+1)*M122)/12</f>
        <v>28943.76066182146</v>
      </c>
      <c r="N114" s="13">
        <f>E114*((1+D114)^N120*N121+(1+D114)^(N120+1)*N122)/12</f>
        <v>29812.073481676111</v>
      </c>
      <c r="O114" s="13">
        <f>E114*((1+D114)^O120*O121+(1+D114)^(O120+1)*O122)/12</f>
        <v>30706.435686126391</v>
      </c>
      <c r="P114" s="13">
        <f>E114*((1+D114)^P120*P121+(1+D114)^(P120+1)*P122)/12</f>
        <v>31627.628756710183</v>
      </c>
      <c r="Q114" s="13">
        <f>E114*((1+D114)^Q120*Q121+(1+D114)^(Q120+1)*Q122)/12</f>
        <v>32576.457619411489</v>
      </c>
    </row>
    <row r="115" spans="2:17" x14ac:dyDescent="0.3">
      <c r="B115" t="s">
        <v>59</v>
      </c>
      <c r="G115" s="14">
        <f t="shared" ref="G115" si="230">IF(G116=0,0,G114/G116*12)</f>
        <v>24904.880000000001</v>
      </c>
      <c r="H115" s="14">
        <f t="shared" ref="H115" si="231">IF(H116=0,0,H114/H116*12)</f>
        <v>24967.142200000002</v>
      </c>
      <c r="I115" s="14">
        <f t="shared" ref="I115" si="232">IF(I116=0,0,I114/I116*12)</f>
        <v>25716.156466</v>
      </c>
      <c r="J115" s="14">
        <f t="shared" ref="J115" si="233">IF(J116=0,0,J114/J116*12)</f>
        <v>26487.641159979998</v>
      </c>
      <c r="K115" s="14">
        <f t="shared" ref="K115" si="234">IF(K116=0,0,K114/K116*12)</f>
        <v>27282.270394779407</v>
      </c>
      <c r="L115" s="14">
        <f t="shared" ref="L115" si="235">IF(L116=0,0,L114/L116*12)</f>
        <v>28100.738506622787</v>
      </c>
      <c r="M115" s="14">
        <f t="shared" ref="M115" si="236">IF(M116=0,0,M114/M116*12)</f>
        <v>28943.76066182146</v>
      </c>
      <c r="N115" s="14">
        <f t="shared" ref="N115" si="237">IF(N116=0,0,N114/N116*12)</f>
        <v>29812.073481676111</v>
      </c>
      <c r="O115" s="14">
        <f t="shared" ref="O115" si="238">IF(O116=0,0,O114/O116*12)</f>
        <v>30706.435686126388</v>
      </c>
      <c r="P115" s="14">
        <f t="shared" ref="P115" si="239">IF(P116=0,0,P114/P116*12)</f>
        <v>31627.628756710183</v>
      </c>
      <c r="Q115" s="14">
        <f t="shared" ref="Q115" si="240">IF(Q116=0,0,Q114/Q116*12)</f>
        <v>32576.457619411489</v>
      </c>
    </row>
    <row r="116" spans="2:17" x14ac:dyDescent="0.3">
      <c r="B116" t="s">
        <v>60</v>
      </c>
      <c r="G116" s="15">
        <f t="shared" ref="G116:Q116" si="241">+G119-G118</f>
        <v>1</v>
      </c>
      <c r="H116" s="15">
        <f t="shared" si="241"/>
        <v>12</v>
      </c>
      <c r="I116" s="15">
        <f t="shared" si="241"/>
        <v>12</v>
      </c>
      <c r="J116" s="15">
        <f t="shared" si="241"/>
        <v>12</v>
      </c>
      <c r="K116" s="15">
        <f t="shared" si="241"/>
        <v>12</v>
      </c>
      <c r="L116" s="15">
        <f t="shared" si="241"/>
        <v>12</v>
      </c>
      <c r="M116" s="15">
        <f t="shared" si="241"/>
        <v>12</v>
      </c>
      <c r="N116" s="15">
        <f t="shared" si="241"/>
        <v>12</v>
      </c>
      <c r="O116" s="15">
        <f t="shared" si="241"/>
        <v>12</v>
      </c>
      <c r="P116" s="15">
        <f t="shared" si="241"/>
        <v>12</v>
      </c>
      <c r="Q116" s="15">
        <f t="shared" si="241"/>
        <v>12</v>
      </c>
    </row>
    <row r="117" spans="2:17" x14ac:dyDescent="0.3">
      <c r="B117" s="16" t="s">
        <v>61</v>
      </c>
      <c r="G117" s="17">
        <v>0</v>
      </c>
      <c r="H117" s="17">
        <v>1</v>
      </c>
      <c r="I117" s="17">
        <v>2</v>
      </c>
      <c r="J117" s="17">
        <v>3</v>
      </c>
      <c r="K117" s="17">
        <v>4</v>
      </c>
      <c r="L117" s="17">
        <v>5</v>
      </c>
      <c r="M117" s="17">
        <v>6</v>
      </c>
      <c r="N117" s="17">
        <v>7</v>
      </c>
      <c r="O117" s="17">
        <v>8</v>
      </c>
      <c r="P117" s="17">
        <v>9</v>
      </c>
      <c r="Q117" s="17">
        <v>10</v>
      </c>
    </row>
    <row r="118" spans="2:17" x14ac:dyDescent="0.3">
      <c r="B118" s="16" t="s">
        <v>62</v>
      </c>
      <c r="G118" s="18">
        <f>MAX(0,12*(G117-1)-C114)</f>
        <v>0</v>
      </c>
      <c r="H118" s="18">
        <f>MAX(0,12*(H117-1)-C114)</f>
        <v>1</v>
      </c>
      <c r="I118" s="18">
        <f>MAX(0,12*(I117-1)-C114)</f>
        <v>13</v>
      </c>
      <c r="J118" s="18">
        <f>MAX(0,12*(J117-1)-C114)</f>
        <v>25</v>
      </c>
      <c r="K118" s="18">
        <f>MAX(0,12*(K117-1)-C114)</f>
        <v>37</v>
      </c>
      <c r="L118" s="18">
        <f>MAX(0,12*(L117-1)-C114)</f>
        <v>49</v>
      </c>
      <c r="M118" s="18">
        <f>MAX(0,12*(M117-1)-C114)</f>
        <v>61</v>
      </c>
      <c r="N118" s="18">
        <f>MAX(0,12*(N117-1)-C114)</f>
        <v>73</v>
      </c>
      <c r="O118" s="18">
        <f>MAX(0,12*(O117-1)-C114)</f>
        <v>85</v>
      </c>
      <c r="P118" s="18">
        <f>MAX(0,12*(P117-1)-C114)</f>
        <v>97</v>
      </c>
      <c r="Q118" s="18">
        <f>MAX(0,12*(Q117-1)-C114)</f>
        <v>109</v>
      </c>
    </row>
    <row r="119" spans="2:17" x14ac:dyDescent="0.3">
      <c r="B119" s="16" t="s">
        <v>63</v>
      </c>
      <c r="G119" s="18">
        <f>MAX(0,12*G117-C114)</f>
        <v>1</v>
      </c>
      <c r="H119" s="18">
        <f>MAX(0,12*H117-C114)</f>
        <v>13</v>
      </c>
      <c r="I119" s="18">
        <f>MAX(0,12*I117-C114)</f>
        <v>25</v>
      </c>
      <c r="J119" s="18">
        <f>MAX(0,12*J117-C114)</f>
        <v>37</v>
      </c>
      <c r="K119" s="18">
        <f>MAX(0,12*K117-C114)</f>
        <v>49</v>
      </c>
      <c r="L119" s="18">
        <f>MAX(0,12*L117-C114)</f>
        <v>61</v>
      </c>
      <c r="M119" s="18">
        <f>MAX(0,12*M117-C114)</f>
        <v>73</v>
      </c>
      <c r="N119" s="18">
        <f>MAX(0,12*N117-C114)</f>
        <v>85</v>
      </c>
      <c r="O119" s="18">
        <f>MAX(0,12*O117-C114)</f>
        <v>97</v>
      </c>
      <c r="P119" s="18">
        <f>MAX(0,12*P117-C114)</f>
        <v>109</v>
      </c>
      <c r="Q119" s="18">
        <f>MAX(0,12*Q117-C114)</f>
        <v>121</v>
      </c>
    </row>
    <row r="120" spans="2:17" x14ac:dyDescent="0.3">
      <c r="B120" s="16" t="s">
        <v>64</v>
      </c>
      <c r="G120" s="19">
        <f t="shared" ref="G120:Q120" si="242">INT(G118/12)</f>
        <v>0</v>
      </c>
      <c r="H120" s="19">
        <f t="shared" si="242"/>
        <v>0</v>
      </c>
      <c r="I120" s="19">
        <f t="shared" si="242"/>
        <v>1</v>
      </c>
      <c r="J120" s="19">
        <f t="shared" si="242"/>
        <v>2</v>
      </c>
      <c r="K120" s="19">
        <f t="shared" si="242"/>
        <v>3</v>
      </c>
      <c r="L120" s="19">
        <f t="shared" si="242"/>
        <v>4</v>
      </c>
      <c r="M120" s="19">
        <f t="shared" si="242"/>
        <v>5</v>
      </c>
      <c r="N120" s="19">
        <f t="shared" si="242"/>
        <v>6</v>
      </c>
      <c r="O120" s="19">
        <f t="shared" si="242"/>
        <v>7</v>
      </c>
      <c r="P120" s="19">
        <f t="shared" si="242"/>
        <v>8</v>
      </c>
      <c r="Q120" s="19">
        <f t="shared" si="242"/>
        <v>9</v>
      </c>
    </row>
    <row r="121" spans="2:17" x14ac:dyDescent="0.3">
      <c r="B121" s="16" t="s">
        <v>65</v>
      </c>
      <c r="G121" s="18">
        <f t="shared" ref="G121" si="243">MIN(G119,12*(G120+1))-G118</f>
        <v>1</v>
      </c>
      <c r="H121" s="18">
        <f t="shared" ref="H121" si="244">MIN(H119,12*(H120+1))-H118</f>
        <v>11</v>
      </c>
      <c r="I121" s="18">
        <f t="shared" ref="I121" si="245">MIN(I119,12*(I120+1))-I118</f>
        <v>11</v>
      </c>
      <c r="J121" s="18">
        <f t="shared" ref="J121" si="246">MIN(J119,12*(J120+1))-J118</f>
        <v>11</v>
      </c>
      <c r="K121" s="18">
        <f t="shared" ref="K121" si="247">MIN(K119,12*(K120+1))-K118</f>
        <v>11</v>
      </c>
      <c r="L121" s="18">
        <f t="shared" ref="L121" si="248">MIN(L119,12*(L120+1))-L118</f>
        <v>11</v>
      </c>
      <c r="M121" s="18">
        <f t="shared" ref="M121" si="249">MIN(M119,12*(M120+1))-M118</f>
        <v>11</v>
      </c>
      <c r="N121" s="18">
        <f t="shared" ref="N121" si="250">MIN(N119,12*(N120+1))-N118</f>
        <v>11</v>
      </c>
      <c r="O121" s="18">
        <f t="shared" ref="O121" si="251">MIN(O119,12*(O120+1))-O118</f>
        <v>11</v>
      </c>
      <c r="P121" s="18">
        <f t="shared" ref="P121" si="252">MIN(P119,12*(P120+1))-P118</f>
        <v>11</v>
      </c>
      <c r="Q121" s="18">
        <f t="shared" ref="Q121" si="253">MIN(Q119,12*(Q120+1))-Q118</f>
        <v>11</v>
      </c>
    </row>
    <row r="122" spans="2:17" x14ac:dyDescent="0.3">
      <c r="B122" s="16" t="s">
        <v>66</v>
      </c>
      <c r="G122" s="18">
        <f t="shared" ref="G122:Q122" si="254">+G119-MIN(G119,12*(G120+1))</f>
        <v>0</v>
      </c>
      <c r="H122" s="18">
        <f t="shared" si="254"/>
        <v>1</v>
      </c>
      <c r="I122" s="18">
        <f t="shared" si="254"/>
        <v>1</v>
      </c>
      <c r="J122" s="18">
        <f t="shared" si="254"/>
        <v>1</v>
      </c>
      <c r="K122" s="18">
        <f t="shared" si="254"/>
        <v>1</v>
      </c>
      <c r="L122" s="18">
        <f t="shared" si="254"/>
        <v>1</v>
      </c>
      <c r="M122" s="18">
        <f t="shared" si="254"/>
        <v>1</v>
      </c>
      <c r="N122" s="18">
        <f t="shared" si="254"/>
        <v>1</v>
      </c>
      <c r="O122" s="18">
        <f t="shared" si="254"/>
        <v>1</v>
      </c>
      <c r="P122" s="18">
        <f t="shared" si="254"/>
        <v>1</v>
      </c>
      <c r="Q122" s="18">
        <f t="shared" si="254"/>
        <v>1</v>
      </c>
    </row>
    <row r="123" spans="2:17" x14ac:dyDescent="0.3">
      <c r="C123" s="1"/>
      <c r="D123" s="1"/>
    </row>
    <row r="124" spans="2:17" x14ac:dyDescent="0.3">
      <c r="C124" t="s">
        <v>47</v>
      </c>
      <c r="D124" t="s">
        <v>48</v>
      </c>
      <c r="E124" t="s">
        <v>49</v>
      </c>
      <c r="G124" t="s">
        <v>43</v>
      </c>
      <c r="H124" t="s">
        <v>44</v>
      </c>
      <c r="I124" t="s">
        <v>50</v>
      </c>
      <c r="J124" t="s">
        <v>51</v>
      </c>
      <c r="K124" t="s">
        <v>52</v>
      </c>
      <c r="L124" t="s">
        <v>53</v>
      </c>
      <c r="M124" t="s">
        <v>54</v>
      </c>
      <c r="N124" t="s">
        <v>55</v>
      </c>
      <c r="O124" t="s">
        <v>56</v>
      </c>
      <c r="P124" t="s">
        <v>57</v>
      </c>
      <c r="Q124" t="s">
        <v>58</v>
      </c>
    </row>
    <row r="125" spans="2:17" x14ac:dyDescent="0.3">
      <c r="B125" t="s">
        <v>42</v>
      </c>
      <c r="C125" s="12">
        <v>-1</v>
      </c>
      <c r="D125" s="2">
        <f>+Sheet1!$D$43</f>
        <v>0.03</v>
      </c>
      <c r="E125" s="13">
        <f>+Sheet1!$G$57</f>
        <v>0</v>
      </c>
      <c r="G125" s="14">
        <f>E125*((1+D125)^G131*G132+(1+D125)^(G131+1)*G133)/12</f>
        <v>0</v>
      </c>
      <c r="H125" s="14">
        <f>E125*((1+D125)^H131*H132+(1+D125)^(H131+1)*H133)/12</f>
        <v>0</v>
      </c>
      <c r="I125" s="13">
        <f>E125*((1+D125)^I131*I132+(1+D125)^(I131+1)*I133)/12</f>
        <v>0</v>
      </c>
      <c r="J125" s="13">
        <f>E125*((1+D125)^J131*J132+(1+D125)^(J131+1)*J133)/12</f>
        <v>0</v>
      </c>
      <c r="K125" s="13">
        <f>E125*((1+D125)^K131*K132+(1+D125)^(K131+1)*K133)/12</f>
        <v>0</v>
      </c>
      <c r="L125" s="13">
        <f>E125*((1+D125)^L131*L132+(1+D125)^(L131+1)*L133)/12</f>
        <v>0</v>
      </c>
      <c r="M125" s="13">
        <f>E125*((1+D125)^M131*M132+(1+D125)^(M131+1)*M133)/12</f>
        <v>0</v>
      </c>
      <c r="N125" s="13">
        <f>E125*((1+D125)^N131*N132+(1+D125)^(N131+1)*N133)/12</f>
        <v>0</v>
      </c>
      <c r="O125" s="13">
        <f>E125*((1+D125)^O131*O132+(1+D125)^(O131+1)*O133)/12</f>
        <v>0</v>
      </c>
      <c r="P125" s="13">
        <f>E125*((1+D125)^P131*P132+(1+D125)^(P131+1)*P133)/12</f>
        <v>0</v>
      </c>
      <c r="Q125" s="13">
        <f>E125*((1+D125)^Q131*Q132+(1+D125)^(Q131+1)*Q133)/12</f>
        <v>0</v>
      </c>
    </row>
    <row r="126" spans="2:17" x14ac:dyDescent="0.3">
      <c r="B126" t="s">
        <v>59</v>
      </c>
      <c r="G126" s="14">
        <f t="shared" ref="G126" si="255">IF(G127=0,0,G125/G127*12)</f>
        <v>0</v>
      </c>
      <c r="H126" s="14">
        <f t="shared" ref="H126" si="256">IF(H127=0,0,H125/H127*12)</f>
        <v>0</v>
      </c>
      <c r="I126" s="14">
        <f t="shared" ref="I126" si="257">IF(I127=0,0,I125/I127*12)</f>
        <v>0</v>
      </c>
      <c r="J126" s="14">
        <f t="shared" ref="J126" si="258">IF(J127=0,0,J125/J127*12)</f>
        <v>0</v>
      </c>
      <c r="K126" s="14">
        <f t="shared" ref="K126" si="259">IF(K127=0,0,K125/K127*12)</f>
        <v>0</v>
      </c>
      <c r="L126" s="14">
        <f t="shared" ref="L126" si="260">IF(L127=0,0,L125/L127*12)</f>
        <v>0</v>
      </c>
      <c r="M126" s="14">
        <f t="shared" ref="M126" si="261">IF(M127=0,0,M125/M127*12)</f>
        <v>0</v>
      </c>
      <c r="N126" s="14">
        <f t="shared" ref="N126" si="262">IF(N127=0,0,N125/N127*12)</f>
        <v>0</v>
      </c>
      <c r="O126" s="14">
        <f t="shared" ref="O126" si="263">IF(O127=0,0,O125/O127*12)</f>
        <v>0</v>
      </c>
      <c r="P126" s="14">
        <f t="shared" ref="P126" si="264">IF(P127=0,0,P125/P127*12)</f>
        <v>0</v>
      </c>
      <c r="Q126" s="14">
        <f t="shared" ref="Q126" si="265">IF(Q127=0,0,Q125/Q127*12)</f>
        <v>0</v>
      </c>
    </row>
    <row r="127" spans="2:17" x14ac:dyDescent="0.3">
      <c r="B127" t="s">
        <v>60</v>
      </c>
      <c r="G127" s="15">
        <f t="shared" ref="G127:Q127" si="266">+G130-G129</f>
        <v>1</v>
      </c>
      <c r="H127" s="15">
        <f t="shared" si="266"/>
        <v>12</v>
      </c>
      <c r="I127" s="15">
        <f t="shared" si="266"/>
        <v>12</v>
      </c>
      <c r="J127" s="15">
        <f t="shared" si="266"/>
        <v>12</v>
      </c>
      <c r="K127" s="15">
        <f t="shared" si="266"/>
        <v>12</v>
      </c>
      <c r="L127" s="15">
        <f t="shared" si="266"/>
        <v>12</v>
      </c>
      <c r="M127" s="15">
        <f t="shared" si="266"/>
        <v>12</v>
      </c>
      <c r="N127" s="15">
        <f t="shared" si="266"/>
        <v>12</v>
      </c>
      <c r="O127" s="15">
        <f t="shared" si="266"/>
        <v>12</v>
      </c>
      <c r="P127" s="15">
        <f t="shared" si="266"/>
        <v>12</v>
      </c>
      <c r="Q127" s="15">
        <f t="shared" si="266"/>
        <v>12</v>
      </c>
    </row>
    <row r="128" spans="2:17" x14ac:dyDescent="0.3">
      <c r="B128" s="16" t="s">
        <v>61</v>
      </c>
      <c r="G128" s="17">
        <v>0</v>
      </c>
      <c r="H128" s="17">
        <v>1</v>
      </c>
      <c r="I128" s="17">
        <v>2</v>
      </c>
      <c r="J128" s="17">
        <v>3</v>
      </c>
      <c r="K128" s="17">
        <v>4</v>
      </c>
      <c r="L128" s="17">
        <v>5</v>
      </c>
      <c r="M128" s="17">
        <v>6</v>
      </c>
      <c r="N128" s="17">
        <v>7</v>
      </c>
      <c r="O128" s="17">
        <v>8</v>
      </c>
      <c r="P128" s="17">
        <v>9</v>
      </c>
      <c r="Q128" s="17">
        <v>10</v>
      </c>
    </row>
    <row r="129" spans="2:17" x14ac:dyDescent="0.3">
      <c r="B129" s="16" t="s">
        <v>62</v>
      </c>
      <c r="G129" s="18">
        <f>MAX(0,12*(G128-1)-C125)</f>
        <v>0</v>
      </c>
      <c r="H129" s="18">
        <f>MAX(0,12*(H128-1)-C125)</f>
        <v>1</v>
      </c>
      <c r="I129" s="18">
        <f>MAX(0,12*(I128-1)-C125)</f>
        <v>13</v>
      </c>
      <c r="J129" s="18">
        <f>MAX(0,12*(J128-1)-C125)</f>
        <v>25</v>
      </c>
      <c r="K129" s="18">
        <f>MAX(0,12*(K128-1)-C125)</f>
        <v>37</v>
      </c>
      <c r="L129" s="18">
        <f>MAX(0,12*(L128-1)-C125)</f>
        <v>49</v>
      </c>
      <c r="M129" s="18">
        <f>MAX(0,12*(M128-1)-C125)</f>
        <v>61</v>
      </c>
      <c r="N129" s="18">
        <f>MAX(0,12*(N128-1)-C125)</f>
        <v>73</v>
      </c>
      <c r="O129" s="18">
        <f>MAX(0,12*(O128-1)-C125)</f>
        <v>85</v>
      </c>
      <c r="P129" s="18">
        <f>MAX(0,12*(P128-1)-C125)</f>
        <v>97</v>
      </c>
      <c r="Q129" s="18">
        <f>MAX(0,12*(Q128-1)-C125)</f>
        <v>109</v>
      </c>
    </row>
    <row r="130" spans="2:17" x14ac:dyDescent="0.3">
      <c r="B130" s="16" t="s">
        <v>63</v>
      </c>
      <c r="G130" s="18">
        <f>MAX(0,12*G128-C125)</f>
        <v>1</v>
      </c>
      <c r="H130" s="18">
        <f>MAX(0,12*H128-C125)</f>
        <v>13</v>
      </c>
      <c r="I130" s="18">
        <f>MAX(0,12*I128-C125)</f>
        <v>25</v>
      </c>
      <c r="J130" s="18">
        <f>MAX(0,12*J128-C125)</f>
        <v>37</v>
      </c>
      <c r="K130" s="18">
        <f>MAX(0,12*K128-C125)</f>
        <v>49</v>
      </c>
      <c r="L130" s="18">
        <f>MAX(0,12*L128-C125)</f>
        <v>61</v>
      </c>
      <c r="M130" s="18">
        <f>MAX(0,12*M128-C125)</f>
        <v>73</v>
      </c>
      <c r="N130" s="18">
        <f>MAX(0,12*N128-C125)</f>
        <v>85</v>
      </c>
      <c r="O130" s="18">
        <f>MAX(0,12*O128-C125)</f>
        <v>97</v>
      </c>
      <c r="P130" s="18">
        <f>MAX(0,12*P128-C125)</f>
        <v>109</v>
      </c>
      <c r="Q130" s="18">
        <f>MAX(0,12*Q128-C125)</f>
        <v>121</v>
      </c>
    </row>
    <row r="131" spans="2:17" x14ac:dyDescent="0.3">
      <c r="B131" s="16" t="s">
        <v>64</v>
      </c>
      <c r="G131" s="19">
        <f t="shared" ref="G131:Q131" si="267">INT(G129/12)</f>
        <v>0</v>
      </c>
      <c r="H131" s="19">
        <f t="shared" si="267"/>
        <v>0</v>
      </c>
      <c r="I131" s="19">
        <f t="shared" si="267"/>
        <v>1</v>
      </c>
      <c r="J131" s="19">
        <f t="shared" si="267"/>
        <v>2</v>
      </c>
      <c r="K131" s="19">
        <f t="shared" si="267"/>
        <v>3</v>
      </c>
      <c r="L131" s="19">
        <f t="shared" si="267"/>
        <v>4</v>
      </c>
      <c r="M131" s="19">
        <f t="shared" si="267"/>
        <v>5</v>
      </c>
      <c r="N131" s="19">
        <f t="shared" si="267"/>
        <v>6</v>
      </c>
      <c r="O131" s="19">
        <f t="shared" si="267"/>
        <v>7</v>
      </c>
      <c r="P131" s="19">
        <f t="shared" si="267"/>
        <v>8</v>
      </c>
      <c r="Q131" s="19">
        <f t="shared" si="267"/>
        <v>9</v>
      </c>
    </row>
    <row r="132" spans="2:17" x14ac:dyDescent="0.3">
      <c r="B132" s="16" t="s">
        <v>65</v>
      </c>
      <c r="G132" s="18">
        <f t="shared" ref="G132" si="268">MIN(G130,12*(G131+1))-G129</f>
        <v>1</v>
      </c>
      <c r="H132" s="18">
        <f t="shared" ref="H132" si="269">MIN(H130,12*(H131+1))-H129</f>
        <v>11</v>
      </c>
      <c r="I132" s="18">
        <f t="shared" ref="I132" si="270">MIN(I130,12*(I131+1))-I129</f>
        <v>11</v>
      </c>
      <c r="J132" s="18">
        <f t="shared" ref="J132" si="271">MIN(J130,12*(J131+1))-J129</f>
        <v>11</v>
      </c>
      <c r="K132" s="18">
        <f t="shared" ref="K132" si="272">MIN(K130,12*(K131+1))-K129</f>
        <v>11</v>
      </c>
      <c r="L132" s="18">
        <f t="shared" ref="L132" si="273">MIN(L130,12*(L131+1))-L129</f>
        <v>11</v>
      </c>
      <c r="M132" s="18">
        <f t="shared" ref="M132" si="274">MIN(M130,12*(M131+1))-M129</f>
        <v>11</v>
      </c>
      <c r="N132" s="18">
        <f t="shared" ref="N132" si="275">MIN(N130,12*(N131+1))-N129</f>
        <v>11</v>
      </c>
      <c r="O132" s="18">
        <f t="shared" ref="O132" si="276">MIN(O130,12*(O131+1))-O129</f>
        <v>11</v>
      </c>
      <c r="P132" s="18">
        <f t="shared" ref="P132" si="277">MIN(P130,12*(P131+1))-P129</f>
        <v>11</v>
      </c>
      <c r="Q132" s="18">
        <f t="shared" ref="Q132" si="278">MIN(Q130,12*(Q131+1))-Q129</f>
        <v>11</v>
      </c>
    </row>
    <row r="133" spans="2:17" x14ac:dyDescent="0.3">
      <c r="B133" s="16" t="s">
        <v>66</v>
      </c>
      <c r="G133" s="18">
        <f t="shared" ref="G133:Q133" si="279">+G130-MIN(G130,12*(G131+1))</f>
        <v>0</v>
      </c>
      <c r="H133" s="18">
        <f t="shared" si="279"/>
        <v>1</v>
      </c>
      <c r="I133" s="18">
        <f t="shared" si="279"/>
        <v>1</v>
      </c>
      <c r="J133" s="18">
        <f t="shared" si="279"/>
        <v>1</v>
      </c>
      <c r="K133" s="18">
        <f t="shared" si="279"/>
        <v>1</v>
      </c>
      <c r="L133" s="18">
        <f t="shared" si="279"/>
        <v>1</v>
      </c>
      <c r="M133" s="18">
        <f t="shared" si="279"/>
        <v>1</v>
      </c>
      <c r="N133" s="18">
        <f t="shared" si="279"/>
        <v>1</v>
      </c>
      <c r="O133" s="18">
        <f t="shared" si="279"/>
        <v>1</v>
      </c>
      <c r="P133" s="18">
        <f t="shared" si="279"/>
        <v>1</v>
      </c>
      <c r="Q133" s="18">
        <f t="shared" si="279"/>
        <v>1</v>
      </c>
    </row>
    <row r="135" spans="2:17" x14ac:dyDescent="0.3">
      <c r="C135" t="s">
        <v>47</v>
      </c>
      <c r="D135" t="s">
        <v>48</v>
      </c>
      <c r="E135" t="s">
        <v>49</v>
      </c>
      <c r="G135" t="s">
        <v>43</v>
      </c>
      <c r="H135" t="s">
        <v>44</v>
      </c>
      <c r="I135" t="s">
        <v>50</v>
      </c>
      <c r="J135" t="s">
        <v>51</v>
      </c>
      <c r="K135" t="s">
        <v>52</v>
      </c>
      <c r="L135" t="s">
        <v>53</v>
      </c>
      <c r="M135" t="s">
        <v>54</v>
      </c>
      <c r="N135" t="s">
        <v>55</v>
      </c>
      <c r="O135" t="s">
        <v>56</v>
      </c>
      <c r="P135" t="s">
        <v>57</v>
      </c>
      <c r="Q135" t="s">
        <v>58</v>
      </c>
    </row>
    <row r="136" spans="2:17" x14ac:dyDescent="0.3">
      <c r="B136" t="s">
        <v>42</v>
      </c>
      <c r="C136" s="12">
        <v>-1</v>
      </c>
      <c r="D136" s="2">
        <f>+Sheet1!$D$43</f>
        <v>0.03</v>
      </c>
      <c r="E136" s="13">
        <f>+Sheet1!$G$58</f>
        <v>0</v>
      </c>
      <c r="G136" s="14">
        <f>E136*((1+D136)^G142*G143+(1+D136)^(G142+1)*G144)/12</f>
        <v>0</v>
      </c>
      <c r="H136" s="14">
        <f>E136*((1+D136)^H142*H143+(1+D136)^(H142+1)*H144)/12</f>
        <v>0</v>
      </c>
      <c r="I136" s="13">
        <f>E136*((1+D136)^I142*I143+(1+D136)^(I142+1)*I144)/12</f>
        <v>0</v>
      </c>
      <c r="J136" s="13">
        <f>E136*((1+D136)^J142*J143+(1+D136)^(J142+1)*J144)/12</f>
        <v>0</v>
      </c>
      <c r="K136" s="13">
        <f>E136*((1+D136)^K142*K143+(1+D136)^(K142+1)*K144)/12</f>
        <v>0</v>
      </c>
      <c r="L136" s="13">
        <f>E136*((1+D136)^L142*L143+(1+D136)^(L142+1)*L144)/12</f>
        <v>0</v>
      </c>
      <c r="M136" s="13">
        <f>E136*((1+D136)^M142*M143+(1+D136)^(M142+1)*M144)/12</f>
        <v>0</v>
      </c>
      <c r="N136" s="13">
        <f>E136*((1+D136)^N142*N143+(1+D136)^(N142+1)*N144)/12</f>
        <v>0</v>
      </c>
      <c r="O136" s="13">
        <f>E136*((1+D136)^O142*O143+(1+D136)^(O142+1)*O144)/12</f>
        <v>0</v>
      </c>
      <c r="P136" s="13">
        <f>E136*((1+D136)^P142*P143+(1+D136)^(P142+1)*P144)/12</f>
        <v>0</v>
      </c>
      <c r="Q136" s="13">
        <f>E136*((1+D136)^Q142*Q143+(1+D136)^(Q142+1)*Q144)/12</f>
        <v>0</v>
      </c>
    </row>
    <row r="137" spans="2:17" x14ac:dyDescent="0.3">
      <c r="B137" t="s">
        <v>59</v>
      </c>
      <c r="G137" s="14">
        <f t="shared" ref="G137" si="280">IF(G138=0,0,G136/G138*12)</f>
        <v>0</v>
      </c>
      <c r="H137" s="14">
        <f t="shared" ref="H137" si="281">IF(H138=0,0,H136/H138*12)</f>
        <v>0</v>
      </c>
      <c r="I137" s="14">
        <f t="shared" ref="I137" si="282">IF(I138=0,0,I136/I138*12)</f>
        <v>0</v>
      </c>
      <c r="J137" s="14">
        <f t="shared" ref="J137" si="283">IF(J138=0,0,J136/J138*12)</f>
        <v>0</v>
      </c>
      <c r="K137" s="14">
        <f t="shared" ref="K137" si="284">IF(K138=0,0,K136/K138*12)</f>
        <v>0</v>
      </c>
      <c r="L137" s="14">
        <f t="shared" ref="L137" si="285">IF(L138=0,0,L136/L138*12)</f>
        <v>0</v>
      </c>
      <c r="M137" s="14">
        <f t="shared" ref="M137" si="286">IF(M138=0,0,M136/M138*12)</f>
        <v>0</v>
      </c>
      <c r="N137" s="14">
        <f t="shared" ref="N137" si="287">IF(N138=0,0,N136/N138*12)</f>
        <v>0</v>
      </c>
      <c r="O137" s="14">
        <f t="shared" ref="O137" si="288">IF(O138=0,0,O136/O138*12)</f>
        <v>0</v>
      </c>
      <c r="P137" s="14">
        <f t="shared" ref="P137" si="289">IF(P138=0,0,P136/P138*12)</f>
        <v>0</v>
      </c>
      <c r="Q137" s="14">
        <f t="shared" ref="Q137" si="290">IF(Q138=0,0,Q136/Q138*12)</f>
        <v>0</v>
      </c>
    </row>
    <row r="138" spans="2:17" x14ac:dyDescent="0.3">
      <c r="B138" t="s">
        <v>60</v>
      </c>
      <c r="G138" s="15">
        <f t="shared" ref="G138:Q138" si="291">+G141-G140</f>
        <v>1</v>
      </c>
      <c r="H138" s="15">
        <f t="shared" si="291"/>
        <v>12</v>
      </c>
      <c r="I138" s="15">
        <f t="shared" si="291"/>
        <v>12</v>
      </c>
      <c r="J138" s="15">
        <f t="shared" si="291"/>
        <v>12</v>
      </c>
      <c r="K138" s="15">
        <f t="shared" si="291"/>
        <v>12</v>
      </c>
      <c r="L138" s="15">
        <f t="shared" si="291"/>
        <v>12</v>
      </c>
      <c r="M138" s="15">
        <f t="shared" si="291"/>
        <v>12</v>
      </c>
      <c r="N138" s="15">
        <f t="shared" si="291"/>
        <v>12</v>
      </c>
      <c r="O138" s="15">
        <f t="shared" si="291"/>
        <v>12</v>
      </c>
      <c r="P138" s="15">
        <f t="shared" si="291"/>
        <v>12</v>
      </c>
      <c r="Q138" s="15">
        <f t="shared" si="291"/>
        <v>12</v>
      </c>
    </row>
    <row r="139" spans="2:17" x14ac:dyDescent="0.3">
      <c r="B139" s="16" t="s">
        <v>61</v>
      </c>
      <c r="G139" s="17">
        <v>0</v>
      </c>
      <c r="H139" s="17">
        <v>1</v>
      </c>
      <c r="I139" s="17">
        <v>2</v>
      </c>
      <c r="J139" s="17">
        <v>3</v>
      </c>
      <c r="K139" s="17">
        <v>4</v>
      </c>
      <c r="L139" s="17">
        <v>5</v>
      </c>
      <c r="M139" s="17">
        <v>6</v>
      </c>
      <c r="N139" s="17">
        <v>7</v>
      </c>
      <c r="O139" s="17">
        <v>8</v>
      </c>
      <c r="P139" s="17">
        <v>9</v>
      </c>
      <c r="Q139" s="17">
        <v>10</v>
      </c>
    </row>
    <row r="140" spans="2:17" x14ac:dyDescent="0.3">
      <c r="B140" s="16" t="s">
        <v>62</v>
      </c>
      <c r="G140" s="18">
        <f>MAX(0,12*(G139-1)-C136)</f>
        <v>0</v>
      </c>
      <c r="H140" s="18">
        <f>MAX(0,12*(H139-1)-C136)</f>
        <v>1</v>
      </c>
      <c r="I140" s="18">
        <f>MAX(0,12*(I139-1)-C136)</f>
        <v>13</v>
      </c>
      <c r="J140" s="18">
        <f>MAX(0,12*(J139-1)-C136)</f>
        <v>25</v>
      </c>
      <c r="K140" s="18">
        <f>MAX(0,12*(K139-1)-C136)</f>
        <v>37</v>
      </c>
      <c r="L140" s="18">
        <f>MAX(0,12*(L139-1)-C136)</f>
        <v>49</v>
      </c>
      <c r="M140" s="18">
        <f>MAX(0,12*(M139-1)-C136)</f>
        <v>61</v>
      </c>
      <c r="N140" s="18">
        <f>MAX(0,12*(N139-1)-C136)</f>
        <v>73</v>
      </c>
      <c r="O140" s="18">
        <f>MAX(0,12*(O139-1)-C136)</f>
        <v>85</v>
      </c>
      <c r="P140" s="18">
        <f>MAX(0,12*(P139-1)-C136)</f>
        <v>97</v>
      </c>
      <c r="Q140" s="18">
        <f>MAX(0,12*(Q139-1)-C136)</f>
        <v>109</v>
      </c>
    </row>
    <row r="141" spans="2:17" x14ac:dyDescent="0.3">
      <c r="B141" s="16" t="s">
        <v>63</v>
      </c>
      <c r="G141" s="18">
        <f>MAX(0,12*G139-C136)</f>
        <v>1</v>
      </c>
      <c r="H141" s="18">
        <f>MAX(0,12*H139-C136)</f>
        <v>13</v>
      </c>
      <c r="I141" s="18">
        <f>MAX(0,12*I139-C136)</f>
        <v>25</v>
      </c>
      <c r="J141" s="18">
        <f>MAX(0,12*J139-C136)</f>
        <v>37</v>
      </c>
      <c r="K141" s="18">
        <f>MAX(0,12*K139-C136)</f>
        <v>49</v>
      </c>
      <c r="L141" s="18">
        <f>MAX(0,12*L139-C136)</f>
        <v>61</v>
      </c>
      <c r="M141" s="18">
        <f>MAX(0,12*M139-C136)</f>
        <v>73</v>
      </c>
      <c r="N141" s="18">
        <f>MAX(0,12*N139-C136)</f>
        <v>85</v>
      </c>
      <c r="O141" s="18">
        <f>MAX(0,12*O139-C136)</f>
        <v>97</v>
      </c>
      <c r="P141" s="18">
        <f>MAX(0,12*P139-C136)</f>
        <v>109</v>
      </c>
      <c r="Q141" s="18">
        <f>MAX(0,12*Q139-C136)</f>
        <v>121</v>
      </c>
    </row>
    <row r="142" spans="2:17" x14ac:dyDescent="0.3">
      <c r="B142" s="16" t="s">
        <v>64</v>
      </c>
      <c r="G142" s="19">
        <f t="shared" ref="G142:Q142" si="292">INT(G140/12)</f>
        <v>0</v>
      </c>
      <c r="H142" s="19">
        <f t="shared" si="292"/>
        <v>0</v>
      </c>
      <c r="I142" s="19">
        <f t="shared" si="292"/>
        <v>1</v>
      </c>
      <c r="J142" s="19">
        <f t="shared" si="292"/>
        <v>2</v>
      </c>
      <c r="K142" s="19">
        <f t="shared" si="292"/>
        <v>3</v>
      </c>
      <c r="L142" s="19">
        <f t="shared" si="292"/>
        <v>4</v>
      </c>
      <c r="M142" s="19">
        <f t="shared" si="292"/>
        <v>5</v>
      </c>
      <c r="N142" s="19">
        <f t="shared" si="292"/>
        <v>6</v>
      </c>
      <c r="O142" s="19">
        <f t="shared" si="292"/>
        <v>7</v>
      </c>
      <c r="P142" s="19">
        <f t="shared" si="292"/>
        <v>8</v>
      </c>
      <c r="Q142" s="19">
        <f t="shared" si="292"/>
        <v>9</v>
      </c>
    </row>
    <row r="143" spans="2:17" x14ac:dyDescent="0.3">
      <c r="B143" s="16" t="s">
        <v>65</v>
      </c>
      <c r="G143" s="18">
        <f t="shared" ref="G143" si="293">MIN(G141,12*(G142+1))-G140</f>
        <v>1</v>
      </c>
      <c r="H143" s="18">
        <f t="shared" ref="H143" si="294">MIN(H141,12*(H142+1))-H140</f>
        <v>11</v>
      </c>
      <c r="I143" s="18">
        <f t="shared" ref="I143" si="295">MIN(I141,12*(I142+1))-I140</f>
        <v>11</v>
      </c>
      <c r="J143" s="18">
        <f t="shared" ref="J143" si="296">MIN(J141,12*(J142+1))-J140</f>
        <v>11</v>
      </c>
      <c r="K143" s="18">
        <f t="shared" ref="K143" si="297">MIN(K141,12*(K142+1))-K140</f>
        <v>11</v>
      </c>
      <c r="L143" s="18">
        <f t="shared" ref="L143" si="298">MIN(L141,12*(L142+1))-L140</f>
        <v>11</v>
      </c>
      <c r="M143" s="18">
        <f t="shared" ref="M143" si="299">MIN(M141,12*(M142+1))-M140</f>
        <v>11</v>
      </c>
      <c r="N143" s="18">
        <f t="shared" ref="N143" si="300">MIN(N141,12*(N142+1))-N140</f>
        <v>11</v>
      </c>
      <c r="O143" s="18">
        <f t="shared" ref="O143" si="301">MIN(O141,12*(O142+1))-O140</f>
        <v>11</v>
      </c>
      <c r="P143" s="18">
        <f t="shared" ref="P143" si="302">MIN(P141,12*(P142+1))-P140</f>
        <v>11</v>
      </c>
      <c r="Q143" s="18">
        <f t="shared" ref="Q143" si="303">MIN(Q141,12*(Q142+1))-Q140</f>
        <v>11</v>
      </c>
    </row>
    <row r="144" spans="2:17" x14ac:dyDescent="0.3">
      <c r="B144" s="16" t="s">
        <v>66</v>
      </c>
      <c r="G144" s="18">
        <f t="shared" ref="G144:Q144" si="304">+G141-MIN(G141,12*(G142+1))</f>
        <v>0</v>
      </c>
      <c r="H144" s="18">
        <f t="shared" si="304"/>
        <v>1</v>
      </c>
      <c r="I144" s="18">
        <f t="shared" si="304"/>
        <v>1</v>
      </c>
      <c r="J144" s="18">
        <f t="shared" si="304"/>
        <v>1</v>
      </c>
      <c r="K144" s="18">
        <f t="shared" si="304"/>
        <v>1</v>
      </c>
      <c r="L144" s="18">
        <f t="shared" si="304"/>
        <v>1</v>
      </c>
      <c r="M144" s="18">
        <f t="shared" si="304"/>
        <v>1</v>
      </c>
      <c r="N144" s="18">
        <f t="shared" si="304"/>
        <v>1</v>
      </c>
      <c r="O144" s="18">
        <f t="shared" si="304"/>
        <v>1</v>
      </c>
      <c r="P144" s="18">
        <f t="shared" si="304"/>
        <v>1</v>
      </c>
      <c r="Q144" s="18">
        <f t="shared" si="304"/>
        <v>1</v>
      </c>
    </row>
    <row r="146" spans="2:17" x14ac:dyDescent="0.3">
      <c r="C146" t="s">
        <v>47</v>
      </c>
      <c r="D146" t="s">
        <v>48</v>
      </c>
      <c r="E146" t="s">
        <v>49</v>
      </c>
      <c r="G146" t="s">
        <v>43</v>
      </c>
      <c r="H146" t="s">
        <v>44</v>
      </c>
      <c r="I146" t="s">
        <v>50</v>
      </c>
      <c r="J146" t="s">
        <v>51</v>
      </c>
      <c r="K146" t="s">
        <v>52</v>
      </c>
      <c r="L146" t="s">
        <v>53</v>
      </c>
      <c r="M146" t="s">
        <v>54</v>
      </c>
      <c r="N146" t="s">
        <v>55</v>
      </c>
      <c r="O146" t="s">
        <v>56</v>
      </c>
      <c r="P146" t="s">
        <v>57</v>
      </c>
      <c r="Q146" t="s">
        <v>58</v>
      </c>
    </row>
    <row r="147" spans="2:17" x14ac:dyDescent="0.3">
      <c r="B147" t="s">
        <v>42</v>
      </c>
      <c r="C147" s="12">
        <v>-1</v>
      </c>
      <c r="D147" s="2">
        <f>+Sheet1!$D$43</f>
        <v>0.03</v>
      </c>
      <c r="E147" s="13">
        <f>+Sheet1!$G$59</f>
        <v>0</v>
      </c>
      <c r="G147" s="14">
        <f>E147*((1+D147)^G153*G154+(1+D147)^(G153+1)*G155)/12</f>
        <v>0</v>
      </c>
      <c r="H147" s="14">
        <f>E147*((1+D147)^H153*H154+(1+D147)^(H153+1)*H155)/12</f>
        <v>0</v>
      </c>
      <c r="I147" s="13">
        <f>E147*((1+D147)^I153*I154+(1+D147)^(I153+1)*I155)/12</f>
        <v>0</v>
      </c>
      <c r="J147" s="13">
        <f>E147*((1+D147)^J153*J154+(1+D147)^(J153+1)*J155)/12</f>
        <v>0</v>
      </c>
      <c r="K147" s="13">
        <f>E147*((1+D147)^K153*K154+(1+D147)^(K153+1)*K155)/12</f>
        <v>0</v>
      </c>
      <c r="L147" s="13">
        <f>E147*((1+D147)^L153*L154+(1+D147)^(L153+1)*L155)/12</f>
        <v>0</v>
      </c>
      <c r="M147" s="13">
        <f>E147*((1+D147)^M153*M154+(1+D147)^(M153+1)*M155)/12</f>
        <v>0</v>
      </c>
      <c r="N147" s="13">
        <f>E147*((1+D147)^N153*N154+(1+D147)^(N153+1)*N155)/12</f>
        <v>0</v>
      </c>
      <c r="O147" s="13">
        <f>E147*((1+D147)^O153*O154+(1+D147)^(O153+1)*O155)/12</f>
        <v>0</v>
      </c>
      <c r="P147" s="13">
        <f>E147*((1+D147)^P153*P154+(1+D147)^(P153+1)*P155)/12</f>
        <v>0</v>
      </c>
      <c r="Q147" s="13">
        <f>E147*((1+D147)^Q153*Q154+(1+D147)^(Q153+1)*Q155)/12</f>
        <v>0</v>
      </c>
    </row>
    <row r="148" spans="2:17" x14ac:dyDescent="0.3">
      <c r="B148" t="s">
        <v>59</v>
      </c>
      <c r="G148" s="14">
        <f t="shared" ref="G148" si="305">IF(G149=0,0,G147/G149*12)</f>
        <v>0</v>
      </c>
      <c r="H148" s="14">
        <f t="shared" ref="H148" si="306">IF(H149=0,0,H147/H149*12)</f>
        <v>0</v>
      </c>
      <c r="I148" s="14">
        <f t="shared" ref="I148" si="307">IF(I149=0,0,I147/I149*12)</f>
        <v>0</v>
      </c>
      <c r="J148" s="14">
        <f t="shared" ref="J148" si="308">IF(J149=0,0,J147/J149*12)</f>
        <v>0</v>
      </c>
      <c r="K148" s="14">
        <f t="shared" ref="K148" si="309">IF(K149=0,0,K147/K149*12)</f>
        <v>0</v>
      </c>
      <c r="L148" s="14">
        <f t="shared" ref="L148" si="310">IF(L149=0,0,L147/L149*12)</f>
        <v>0</v>
      </c>
      <c r="M148" s="14">
        <f t="shared" ref="M148" si="311">IF(M149=0,0,M147/M149*12)</f>
        <v>0</v>
      </c>
      <c r="N148" s="14">
        <f t="shared" ref="N148" si="312">IF(N149=0,0,N147/N149*12)</f>
        <v>0</v>
      </c>
      <c r="O148" s="14">
        <f t="shared" ref="O148" si="313">IF(O149=0,0,O147/O149*12)</f>
        <v>0</v>
      </c>
      <c r="P148" s="14">
        <f t="shared" ref="P148" si="314">IF(P149=0,0,P147/P149*12)</f>
        <v>0</v>
      </c>
      <c r="Q148" s="14">
        <f t="shared" ref="Q148" si="315">IF(Q149=0,0,Q147/Q149*12)</f>
        <v>0</v>
      </c>
    </row>
    <row r="149" spans="2:17" x14ac:dyDescent="0.3">
      <c r="B149" t="s">
        <v>60</v>
      </c>
      <c r="G149" s="15">
        <f t="shared" ref="G149:Q149" si="316">+G152-G151</f>
        <v>1</v>
      </c>
      <c r="H149" s="15">
        <f t="shared" si="316"/>
        <v>12</v>
      </c>
      <c r="I149" s="15">
        <f t="shared" si="316"/>
        <v>12</v>
      </c>
      <c r="J149" s="15">
        <f t="shared" si="316"/>
        <v>12</v>
      </c>
      <c r="K149" s="15">
        <f t="shared" si="316"/>
        <v>12</v>
      </c>
      <c r="L149" s="15">
        <f t="shared" si="316"/>
        <v>12</v>
      </c>
      <c r="M149" s="15">
        <f t="shared" si="316"/>
        <v>12</v>
      </c>
      <c r="N149" s="15">
        <f t="shared" si="316"/>
        <v>12</v>
      </c>
      <c r="O149" s="15">
        <f t="shared" si="316"/>
        <v>12</v>
      </c>
      <c r="P149" s="15">
        <f t="shared" si="316"/>
        <v>12</v>
      </c>
      <c r="Q149" s="15">
        <f t="shared" si="316"/>
        <v>12</v>
      </c>
    </row>
    <row r="150" spans="2:17" x14ac:dyDescent="0.3">
      <c r="B150" s="16" t="s">
        <v>61</v>
      </c>
      <c r="G150" s="17">
        <v>0</v>
      </c>
      <c r="H150" s="17">
        <v>1</v>
      </c>
      <c r="I150" s="17">
        <v>2</v>
      </c>
      <c r="J150" s="17">
        <v>3</v>
      </c>
      <c r="K150" s="17">
        <v>4</v>
      </c>
      <c r="L150" s="17">
        <v>5</v>
      </c>
      <c r="M150" s="17">
        <v>6</v>
      </c>
      <c r="N150" s="17">
        <v>7</v>
      </c>
      <c r="O150" s="17">
        <v>8</v>
      </c>
      <c r="P150" s="17">
        <v>9</v>
      </c>
      <c r="Q150" s="17">
        <v>10</v>
      </c>
    </row>
    <row r="151" spans="2:17" x14ac:dyDescent="0.3">
      <c r="B151" s="16" t="s">
        <v>62</v>
      </c>
      <c r="G151" s="18">
        <f>MAX(0,12*(G150-1)-C147)</f>
        <v>0</v>
      </c>
      <c r="H151" s="18">
        <f>MAX(0,12*(H150-1)-C147)</f>
        <v>1</v>
      </c>
      <c r="I151" s="18">
        <f>MAX(0,12*(I150-1)-C147)</f>
        <v>13</v>
      </c>
      <c r="J151" s="18">
        <f>MAX(0,12*(J150-1)-C147)</f>
        <v>25</v>
      </c>
      <c r="K151" s="18">
        <f>MAX(0,12*(K150-1)-C147)</f>
        <v>37</v>
      </c>
      <c r="L151" s="18">
        <f>MAX(0,12*(L150-1)-C147)</f>
        <v>49</v>
      </c>
      <c r="M151" s="18">
        <f>MAX(0,12*(M150-1)-C147)</f>
        <v>61</v>
      </c>
      <c r="N151" s="18">
        <f>MAX(0,12*(N150-1)-C147)</f>
        <v>73</v>
      </c>
      <c r="O151" s="18">
        <f>MAX(0,12*(O150-1)-C147)</f>
        <v>85</v>
      </c>
      <c r="P151" s="18">
        <f>MAX(0,12*(P150-1)-C147)</f>
        <v>97</v>
      </c>
      <c r="Q151" s="18">
        <f>MAX(0,12*(Q150-1)-C147)</f>
        <v>109</v>
      </c>
    </row>
    <row r="152" spans="2:17" x14ac:dyDescent="0.3">
      <c r="B152" s="16" t="s">
        <v>63</v>
      </c>
      <c r="G152" s="18">
        <f>MAX(0,12*G150-C147)</f>
        <v>1</v>
      </c>
      <c r="H152" s="18">
        <f>MAX(0,12*H150-C147)</f>
        <v>13</v>
      </c>
      <c r="I152" s="18">
        <f>MAX(0,12*I150-C147)</f>
        <v>25</v>
      </c>
      <c r="J152" s="18">
        <f>MAX(0,12*J150-C147)</f>
        <v>37</v>
      </c>
      <c r="K152" s="18">
        <f>MAX(0,12*K150-C147)</f>
        <v>49</v>
      </c>
      <c r="L152" s="18">
        <f>MAX(0,12*L150-C147)</f>
        <v>61</v>
      </c>
      <c r="M152" s="18">
        <f>MAX(0,12*M150-C147)</f>
        <v>73</v>
      </c>
      <c r="N152" s="18">
        <f>MAX(0,12*N150-C147)</f>
        <v>85</v>
      </c>
      <c r="O152" s="18">
        <f>MAX(0,12*O150-C147)</f>
        <v>97</v>
      </c>
      <c r="P152" s="18">
        <f>MAX(0,12*P150-C147)</f>
        <v>109</v>
      </c>
      <c r="Q152" s="18">
        <f>MAX(0,12*Q150-C147)</f>
        <v>121</v>
      </c>
    </row>
    <row r="153" spans="2:17" x14ac:dyDescent="0.3">
      <c r="B153" s="16" t="s">
        <v>64</v>
      </c>
      <c r="G153" s="19">
        <f t="shared" ref="G153:Q153" si="317">INT(G151/12)</f>
        <v>0</v>
      </c>
      <c r="H153" s="19">
        <f t="shared" si="317"/>
        <v>0</v>
      </c>
      <c r="I153" s="19">
        <f t="shared" si="317"/>
        <v>1</v>
      </c>
      <c r="J153" s="19">
        <f t="shared" si="317"/>
        <v>2</v>
      </c>
      <c r="K153" s="19">
        <f t="shared" si="317"/>
        <v>3</v>
      </c>
      <c r="L153" s="19">
        <f t="shared" si="317"/>
        <v>4</v>
      </c>
      <c r="M153" s="19">
        <f t="shared" si="317"/>
        <v>5</v>
      </c>
      <c r="N153" s="19">
        <f t="shared" si="317"/>
        <v>6</v>
      </c>
      <c r="O153" s="19">
        <f t="shared" si="317"/>
        <v>7</v>
      </c>
      <c r="P153" s="19">
        <f t="shared" si="317"/>
        <v>8</v>
      </c>
      <c r="Q153" s="19">
        <f t="shared" si="317"/>
        <v>9</v>
      </c>
    </row>
    <row r="154" spans="2:17" x14ac:dyDescent="0.3">
      <c r="B154" s="16" t="s">
        <v>65</v>
      </c>
      <c r="G154" s="18">
        <f t="shared" ref="G154" si="318">MIN(G152,12*(G153+1))-G151</f>
        <v>1</v>
      </c>
      <c r="H154" s="18">
        <f t="shared" ref="H154" si="319">MIN(H152,12*(H153+1))-H151</f>
        <v>11</v>
      </c>
      <c r="I154" s="18">
        <f t="shared" ref="I154" si="320">MIN(I152,12*(I153+1))-I151</f>
        <v>11</v>
      </c>
      <c r="J154" s="18">
        <f t="shared" ref="J154" si="321">MIN(J152,12*(J153+1))-J151</f>
        <v>11</v>
      </c>
      <c r="K154" s="18">
        <f t="shared" ref="K154" si="322">MIN(K152,12*(K153+1))-K151</f>
        <v>11</v>
      </c>
      <c r="L154" s="18">
        <f t="shared" ref="L154" si="323">MIN(L152,12*(L153+1))-L151</f>
        <v>11</v>
      </c>
      <c r="M154" s="18">
        <f t="shared" ref="M154" si="324">MIN(M152,12*(M153+1))-M151</f>
        <v>11</v>
      </c>
      <c r="N154" s="18">
        <f t="shared" ref="N154" si="325">MIN(N152,12*(N153+1))-N151</f>
        <v>11</v>
      </c>
      <c r="O154" s="18">
        <f t="shared" ref="O154" si="326">MIN(O152,12*(O153+1))-O151</f>
        <v>11</v>
      </c>
      <c r="P154" s="18">
        <f t="shared" ref="P154" si="327">MIN(P152,12*(P153+1))-P151</f>
        <v>11</v>
      </c>
      <c r="Q154" s="18">
        <f t="shared" ref="Q154" si="328">MIN(Q152,12*(Q153+1))-Q151</f>
        <v>11</v>
      </c>
    </row>
    <row r="155" spans="2:17" x14ac:dyDescent="0.3">
      <c r="B155" s="16" t="s">
        <v>66</v>
      </c>
      <c r="G155" s="18">
        <f t="shared" ref="G155:Q155" si="329">+G152-MIN(G152,12*(G153+1))</f>
        <v>0</v>
      </c>
      <c r="H155" s="18">
        <f t="shared" si="329"/>
        <v>1</v>
      </c>
      <c r="I155" s="18">
        <f t="shared" si="329"/>
        <v>1</v>
      </c>
      <c r="J155" s="18">
        <f t="shared" si="329"/>
        <v>1</v>
      </c>
      <c r="K155" s="18">
        <f t="shared" si="329"/>
        <v>1</v>
      </c>
      <c r="L155" s="18">
        <f t="shared" si="329"/>
        <v>1</v>
      </c>
      <c r="M155" s="18">
        <f t="shared" si="329"/>
        <v>1</v>
      </c>
      <c r="N155" s="18">
        <f t="shared" si="329"/>
        <v>1</v>
      </c>
      <c r="O155" s="18">
        <f t="shared" si="329"/>
        <v>1</v>
      </c>
      <c r="P155" s="18">
        <f t="shared" si="329"/>
        <v>1</v>
      </c>
      <c r="Q155" s="18">
        <f t="shared" si="329"/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Payroll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Bernabe</dc:creator>
  <cp:lastModifiedBy>Andy Bernabe</cp:lastModifiedBy>
  <dcterms:created xsi:type="dcterms:W3CDTF">2026-09-05T14:43:09Z</dcterms:created>
  <dcterms:modified xsi:type="dcterms:W3CDTF">2026-09-10T11:34:31Z</dcterms:modified>
</cp:coreProperties>
</file>